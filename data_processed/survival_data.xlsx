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stihi/Documents/Oxford_repos/oxc_spatial_paper_ready/data_processed/"/>
    </mc:Choice>
  </mc:AlternateContent>
  <xr:revisionPtr revIDLastSave="0" documentId="13_ncr:1_{A40582DD-7D0A-CE47-8B3D-FFEDDF29E3EF}" xr6:coauthVersionLast="47" xr6:coauthVersionMax="47" xr10:uidLastSave="{00000000-0000-0000-0000-000000000000}"/>
  <bookViews>
    <workbookView xWindow="0" yWindow="760" windowWidth="30240" windowHeight="17660" xr2:uid="{0F10D090-A2FD-3C40-A339-EED22AF69728}"/>
  </bookViews>
  <sheets>
    <sheet name="survival_metric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E31" i="1"/>
  <c r="E3" i="1"/>
  <c r="E32" i="1"/>
  <c r="E33" i="1"/>
  <c r="E34" i="1"/>
  <c r="E4" i="1"/>
  <c r="E5" i="1"/>
  <c r="E6" i="1"/>
  <c r="E35" i="1"/>
  <c r="E7" i="1"/>
  <c r="E8" i="1"/>
  <c r="E9" i="1"/>
  <c r="E10" i="1"/>
  <c r="E11" i="1"/>
  <c r="E36" i="1"/>
  <c r="E37" i="1"/>
  <c r="E38" i="1"/>
  <c r="E12" i="1"/>
  <c r="E39" i="1"/>
  <c r="E40" i="1"/>
  <c r="E13" i="1"/>
  <c r="E14" i="1"/>
  <c r="E15" i="1"/>
  <c r="E41" i="1"/>
  <c r="E42" i="1"/>
  <c r="E16" i="1"/>
  <c r="E17" i="1"/>
  <c r="E18" i="1"/>
  <c r="E43" i="1"/>
  <c r="E44" i="1"/>
  <c r="E45" i="1"/>
  <c r="E46" i="1"/>
  <c r="E19" i="1"/>
  <c r="E20" i="1"/>
  <c r="E21" i="1"/>
  <c r="E22" i="1"/>
  <c r="E47" i="1"/>
  <c r="E48" i="1"/>
  <c r="E23" i="1"/>
  <c r="E24" i="1"/>
  <c r="E50" i="1"/>
  <c r="E25" i="1"/>
  <c r="E51" i="1"/>
  <c r="E26" i="1"/>
  <c r="E52" i="1"/>
  <c r="E53" i="1"/>
  <c r="E54" i="1"/>
  <c r="E27" i="1"/>
  <c r="E55" i="1"/>
  <c r="E56" i="1"/>
  <c r="E28" i="1"/>
  <c r="E29" i="1"/>
  <c r="E30" i="1"/>
  <c r="AV3" i="1" l="1"/>
  <c r="AV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<sst xmlns="http://schemas.openxmlformats.org/spreadsheetml/2006/main" count="678" uniqueCount="198">
  <si>
    <t>Patient_ID</t>
  </si>
  <si>
    <t>age</t>
  </si>
  <si>
    <t>stage</t>
  </si>
  <si>
    <t>beva</t>
  </si>
  <si>
    <t>parpi</t>
  </si>
  <si>
    <t>io</t>
  </si>
  <si>
    <t>outcomes_binary</t>
  </si>
  <si>
    <t>nact</t>
  </si>
  <si>
    <t>MTIL</t>
  </si>
  <si>
    <t>TNK</t>
  </si>
  <si>
    <t>TIP</t>
  </si>
  <si>
    <t>DAF</t>
  </si>
  <si>
    <t>samples</t>
  </si>
  <si>
    <t>sites_binary</t>
  </si>
  <si>
    <t>CLQ_T_F</t>
  </si>
  <si>
    <t>CLQ_T_M</t>
  </si>
  <si>
    <t>BRCA</t>
  </si>
  <si>
    <t>TMB</t>
  </si>
  <si>
    <t>event</t>
  </si>
  <si>
    <t>fu_time</t>
  </si>
  <si>
    <t>ripley_B.cell_auc_clustering</t>
  </si>
  <si>
    <t>ripley_Endothelial_auc_clustering</t>
  </si>
  <si>
    <t>ripley_Fibroblast_auc_clustering</t>
  </si>
  <si>
    <t>ripley_Malignant.C10_auc_clustering</t>
  </si>
  <si>
    <t>ripley_Malignant.C3_auc_clustering</t>
  </si>
  <si>
    <t>ripley_Malignant.C4_auc_clustering</t>
  </si>
  <si>
    <t>ripley_Malignant.EMT_auc_clustering</t>
  </si>
  <si>
    <t>ripley_Malignant.Other_auc_clustering</t>
  </si>
  <si>
    <t>ripley_Malignant.ciliated_auc_clustering</t>
  </si>
  <si>
    <t>ripley_Mast.cell_auc_clustering</t>
  </si>
  <si>
    <t>ripley_Monocyte_auc_clustering</t>
  </si>
  <si>
    <t>ripley_TNK.cell_auc_clustering</t>
  </si>
  <si>
    <t>30um_degree_centrality_B.cell_degree_centrality</t>
  </si>
  <si>
    <t>30um_degree_centrality_Endothelial_degree_centrality</t>
  </si>
  <si>
    <t>30um_degree_centrality_Fibroblast_degree_centrality</t>
  </si>
  <si>
    <t>30um_degree_centrality_Malignant.C10_degree_centrality</t>
  </si>
  <si>
    <t>30um_degree_centrality_Malignant.C3_degree_centrality</t>
  </si>
  <si>
    <t>30um_degree_centrality_Malignant.C4_degree_centrality</t>
  </si>
  <si>
    <t>30um_degree_centrality_Malignant.EMT_degree_centrality</t>
  </si>
  <si>
    <t>30um_degree_centrality_Malignant.ciliated_degree_centrality</t>
  </si>
  <si>
    <t>30um_degree_centrality_Mast.cell_degree_centrality</t>
  </si>
  <si>
    <t>30um_degree_centrality_Monocyte_degree_centrality</t>
  </si>
  <si>
    <t>30um_degree_centrality_TNK.cell_degree_centrality</t>
  </si>
  <si>
    <t>300um_degree_centrality_B.cell_degree_centrality</t>
  </si>
  <si>
    <t>300um_degree_centrality_Endothelial_degree_centrality</t>
  </si>
  <si>
    <t>300um_degree_centrality_Fibroblast_degree_centrality</t>
  </si>
  <si>
    <t>300um_degree_centrality_Malignant.C10_degree_centrality</t>
  </si>
  <si>
    <t>300um_degree_centrality_Malignant.C3_degree_centrality</t>
  </si>
  <si>
    <t>300um_degree_centrality_Malignant.C4_degree_centrality</t>
  </si>
  <si>
    <t>300um_degree_centrality_Malignant.EMT_degree_centrality</t>
  </si>
  <si>
    <t>300um_degree_centrality_Malignant.ciliated_degree_centrality</t>
  </si>
  <si>
    <t>300um_degree_centrality_Mast.cell_degree_centrality</t>
  </si>
  <si>
    <t>300um_degree_centrality_Monocyte_degree_centrality</t>
  </si>
  <si>
    <t>300um_degree_centrality_TNK.cell_degree_centrality</t>
  </si>
  <si>
    <t>C3</t>
  </si>
  <si>
    <t>C4</t>
  </si>
  <si>
    <t>EMT</t>
  </si>
  <si>
    <t>C10</t>
  </si>
  <si>
    <t>ciliated</t>
  </si>
  <si>
    <t>Malignant (%)</t>
  </si>
  <si>
    <t>Total Cells</t>
  </si>
  <si>
    <t>HGSC1</t>
  </si>
  <si>
    <t>&lt;=65</t>
  </si>
  <si>
    <t>III</t>
  </si>
  <si>
    <t>No</t>
  </si>
  <si>
    <t>Alive</t>
  </si>
  <si>
    <t>Untreated</t>
  </si>
  <si>
    <t>SMI_T10_F001</t>
  </si>
  <si>
    <t>Adnexa</t>
  </si>
  <si>
    <t>P</t>
  </si>
  <si>
    <t>HGSC10</t>
  </si>
  <si>
    <t>&gt;65</t>
  </si>
  <si>
    <t>IV</t>
  </si>
  <si>
    <t>B</t>
  </si>
  <si>
    <t>HGSC102</t>
  </si>
  <si>
    <t>SMI_T14_F005</t>
  </si>
  <si>
    <t>HGSC104</t>
  </si>
  <si>
    <t>Dead</t>
  </si>
  <si>
    <t>SMI_T14_F015</t>
  </si>
  <si>
    <t>HGSC108</t>
  </si>
  <si>
    <t>Treated</t>
  </si>
  <si>
    <t>SMI_T12_F006</t>
  </si>
  <si>
    <t>HGSC109</t>
  </si>
  <si>
    <t>SMI6K_2_F00022</t>
  </si>
  <si>
    <t>HGSC11</t>
  </si>
  <si>
    <t>SMI_T10_F014</t>
  </si>
  <si>
    <t>HGSC110</t>
  </si>
  <si>
    <t>SMI_T12_F009</t>
  </si>
  <si>
    <t>HGSC111</t>
  </si>
  <si>
    <t>SMI_T12_F014</t>
  </si>
  <si>
    <t>HGSC112</t>
  </si>
  <si>
    <t>Yes</t>
  </si>
  <si>
    <t>SMI_T12_F015</t>
  </si>
  <si>
    <t>HGSC113</t>
  </si>
  <si>
    <t>SMI_T12_F012</t>
  </si>
  <si>
    <t>HGSC114</t>
  </si>
  <si>
    <t>SMI_T12_F013</t>
  </si>
  <si>
    <t>HGSC117</t>
  </si>
  <si>
    <t>HGSC13</t>
  </si>
  <si>
    <t>HGSC15</t>
  </si>
  <si>
    <t>SMI_T10_F005</t>
  </si>
  <si>
    <t>HGSC16</t>
  </si>
  <si>
    <t>SMI_T11_F001</t>
  </si>
  <si>
    <t>HGSC17</t>
  </si>
  <si>
    <t>SMI_T11_F020</t>
  </si>
  <si>
    <t>HGSC18</t>
  </si>
  <si>
    <t>SMI_T11_F017</t>
  </si>
  <si>
    <t>HGSC19</t>
  </si>
  <si>
    <t>SMI_T11_F010</t>
  </si>
  <si>
    <t>HGSC2</t>
  </si>
  <si>
    <t>SMI_T10_F006</t>
  </si>
  <si>
    <t>HGSC20</t>
  </si>
  <si>
    <t>SMI_T11_F018</t>
  </si>
  <si>
    <t>HGSC21</t>
  </si>
  <si>
    <t>SMI_T11_F013</t>
  </si>
  <si>
    <t>HGSC22</t>
  </si>
  <si>
    <t>SMI_T11_F008</t>
  </si>
  <si>
    <t>HGSC24</t>
  </si>
  <si>
    <t>SMI_T11_F019</t>
  </si>
  <si>
    <t>HGSC25</t>
  </si>
  <si>
    <t>HGSC26</t>
  </si>
  <si>
    <t>SMI_T11_F004</t>
  </si>
  <si>
    <t>HGSC28</t>
  </si>
  <si>
    <t>SMI_T11_F002</t>
  </si>
  <si>
    <t>HGSC29</t>
  </si>
  <si>
    <t>SMI_T11_F007</t>
  </si>
  <si>
    <t>HGSC3</t>
  </si>
  <si>
    <t>SMI_T10_F015</t>
  </si>
  <si>
    <t>HGSC31</t>
  </si>
  <si>
    <t>SMI_T11_F009</t>
  </si>
  <si>
    <t>HGSC33</t>
  </si>
  <si>
    <t>HGSC35</t>
  </si>
  <si>
    <t>SMI_T13_F011</t>
  </si>
  <si>
    <t>HGSC38</t>
  </si>
  <si>
    <t>SMI_T13_F019</t>
  </si>
  <si>
    <t>HGSC4</t>
  </si>
  <si>
    <t>SMI_T10_F016</t>
  </si>
  <si>
    <t>HGSC46</t>
  </si>
  <si>
    <t>SMI_T13_F002</t>
  </si>
  <si>
    <t>HGSC52</t>
  </si>
  <si>
    <t>SMI_T13_F008</t>
  </si>
  <si>
    <t>HGSC54</t>
  </si>
  <si>
    <t>SMI_T13_F017</t>
  </si>
  <si>
    <t>HGSC55</t>
  </si>
  <si>
    <t>SMI_T13_F009</t>
  </si>
  <si>
    <t>HGSC56</t>
  </si>
  <si>
    <t>SMI_T13_F018</t>
  </si>
  <si>
    <t>HGSC58</t>
  </si>
  <si>
    <t>SMI_T13_F005</t>
  </si>
  <si>
    <t>HGSC59</t>
  </si>
  <si>
    <t>HGSC6</t>
  </si>
  <si>
    <t>HGSC61</t>
  </si>
  <si>
    <t>SMI_T14_F011</t>
  </si>
  <si>
    <t>HGSC63</t>
  </si>
  <si>
    <t>HGSC64</t>
  </si>
  <si>
    <t>SMI_T14_F007</t>
  </si>
  <si>
    <t>HGSC66</t>
  </si>
  <si>
    <t>SMI_T14_F002</t>
  </si>
  <si>
    <t>HGSC7</t>
  </si>
  <si>
    <t>HGSC8</t>
  </si>
  <si>
    <t>SMI_T10_F003</t>
  </si>
  <si>
    <t>HGSC82</t>
  </si>
  <si>
    <t>SMI_T12_F005</t>
  </si>
  <si>
    <t>HGSC84</t>
  </si>
  <si>
    <t>HGSC87</t>
  </si>
  <si>
    <t>SMI_T12_F003</t>
  </si>
  <si>
    <t>HGSC89</t>
  </si>
  <si>
    <t>HGSC9</t>
  </si>
  <si>
    <t>SMI_T10_F013</t>
  </si>
  <si>
    <t>HGSC91</t>
  </si>
  <si>
    <t>SMI_T14_F019</t>
  </si>
  <si>
    <t>EMT_status</t>
  </si>
  <si>
    <t>Index</t>
  </si>
  <si>
    <t>EMT High</t>
  </si>
  <si>
    <t>EMT Low</t>
  </si>
  <si>
    <t>Ripley</t>
  </si>
  <si>
    <t>30um Degree Centrality</t>
  </si>
  <si>
    <t>30um Enrichment</t>
  </si>
  <si>
    <t>30um CLQ</t>
  </si>
  <si>
    <t>100um Degree Centrality</t>
  </si>
  <si>
    <t>100um Enrichment</t>
  </si>
  <si>
    <t>100um CLQ</t>
  </si>
  <si>
    <t>300um Degree Centrality</t>
  </si>
  <si>
    <t>300um Enrichment</t>
  </si>
  <si>
    <t>300um CLQ</t>
  </si>
  <si>
    <t>Cell fractions</t>
  </si>
  <si>
    <t>Mast</t>
  </si>
  <si>
    <t>B cells</t>
  </si>
  <si>
    <t>Endothelial</t>
  </si>
  <si>
    <t>Fibroblast</t>
  </si>
  <si>
    <t>Monocyte</t>
  </si>
  <si>
    <t>TNK cells</t>
  </si>
  <si>
    <t>Mean</t>
  </si>
  <si>
    <t>Median</t>
  </si>
  <si>
    <t>SD</t>
  </si>
  <si>
    <t>mean</t>
  </si>
  <si>
    <t>median</t>
  </si>
  <si>
    <t>CLQ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</si>
</sst>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FF"/>
        <bgColor indexed="64"/>
      </patternFill>
    </fill>
    <fill>
      <patternFill patternType="solid">
        <fgColor rgb="FFFFCC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34" borderId="17" xfId="0" applyFill="1" applyBorder="1" applyAlignment="1">
      <alignment horizontal="center"/>
    </xf>
    <xf numFmtId="0" fontId="0" fillId="34" borderId="18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3" borderId="18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34" borderId="14" xfId="0" applyFill="1" applyBorder="1" applyAlignment="1">
      <alignment horizontal="center"/>
    </xf>
    <xf numFmtId="0" fontId="0" fillId="34" borderId="0" xfId="0" applyFill="1" applyAlignment="1">
      <alignment horizontal="center"/>
    </xf>
    <xf numFmtId="0" fontId="0" fillId="34" borderId="16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4" borderId="15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3" xfId="0" applyFont="1" applyBorder="1" applyAlignment="1">
      <alignment horizontal="center" vertical="center" textRotation="90" wrapText="1"/>
    </xf>
    <xf numFmtId="0" fontId="18" fillId="0" borderId="15" xfId="0" applyFont="1" applyBorder="1" applyAlignment="1">
      <alignment horizontal="center" vertical="center" textRotation="90" wrapText="1"/>
    </xf>
    <xf numFmtId="0" fontId="18" fillId="0" borderId="12" xfId="0" applyFont="1" applyBorder="1" applyAlignment="1">
      <alignment horizontal="center" vertical="center" textRotation="90" wrapText="1"/>
    </xf>
    <xf numFmtId="0" fontId="0" fillId="33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22" xfId="0" applyFill="1" applyBorder="1" applyAlignment="1">
      <alignment horizontal="center"/>
    </xf>
    <xf numFmtId="0" fontId="0" fillId="33" borderId="23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9385-4724-2F4A-8202-363EB0BC84A5}">
  <dimension ref="A1:EE61"/>
  <sheetViews>
    <sheetView tabSelected="1" topLeftCell="AA24" zoomScale="80" zoomScaleNormal="80" workbookViewId="0">
      <selection activeCell="AH35" sqref="AH35"/>
    </sheetView>
  </sheetViews>
  <sheetFormatPr baseColWidth="10" defaultRowHeight="16" x14ac:dyDescent="0.2"/>
  <cols>
    <col min="1" max="23" width="10.83203125" style="1"/>
    <col min="24" max="24" width="14.83203125" style="1" customWidth="1"/>
    <col min="25" max="25" width="18.6640625" style="1" customWidth="1"/>
    <col min="26" max="26" width="16.83203125" style="1" customWidth="1"/>
    <col min="27" max="29" width="10.83203125" style="1"/>
    <col min="30" max="30" width="18.5" style="1" customWidth="1"/>
    <col min="31" max="32" width="10.83203125" style="1"/>
    <col min="33" max="33" width="17" style="1" customWidth="1"/>
    <col min="34" max="34" width="21.83203125" style="1" customWidth="1"/>
    <col min="35" max="35" width="32" style="1" customWidth="1"/>
    <col min="36" max="36" width="22" style="1" customWidth="1"/>
    <col min="37" max="66" width="10.83203125" style="1"/>
    <col min="67" max="67" width="12.6640625" style="1" customWidth="1"/>
    <col min="68" max="133" width="10.83203125" style="1"/>
    <col min="134" max="134" width="14.1640625" style="1" customWidth="1"/>
    <col min="135" max="135" width="11.33203125" style="1" customWidth="1"/>
    <col min="136" max="16384" width="10.83203125" style="1"/>
  </cols>
  <sheetData>
    <row r="1" spans="1:135" s="25" customFormat="1" ht="23" thickBot="1" x14ac:dyDescent="0.35">
      <c r="X1" s="27" t="s">
        <v>175</v>
      </c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  <c r="AJ1" s="27" t="s">
        <v>176</v>
      </c>
      <c r="AK1" s="28"/>
      <c r="AL1" s="28"/>
      <c r="AM1" s="28"/>
      <c r="AN1" s="28"/>
      <c r="AO1" s="28"/>
      <c r="AP1" s="28"/>
      <c r="AQ1" s="28"/>
      <c r="AR1" s="28"/>
      <c r="AS1" s="28"/>
      <c r="AT1" s="29"/>
      <c r="AU1" s="27" t="s">
        <v>177</v>
      </c>
      <c r="AV1" s="28"/>
      <c r="AW1" s="28"/>
      <c r="AX1" s="28"/>
      <c r="AY1" s="28"/>
      <c r="AZ1" s="28"/>
      <c r="BA1" s="28"/>
      <c r="BB1" s="28"/>
      <c r="BC1" s="28"/>
      <c r="BD1" s="29"/>
      <c r="BE1" s="27" t="s">
        <v>178</v>
      </c>
      <c r="BF1" s="28"/>
      <c r="BG1" s="28"/>
      <c r="BH1" s="28"/>
      <c r="BI1" s="28"/>
      <c r="BJ1" s="28"/>
      <c r="BK1" s="28"/>
      <c r="BL1" s="28"/>
      <c r="BM1" s="28"/>
      <c r="BN1" s="29"/>
      <c r="BO1" s="27" t="s">
        <v>179</v>
      </c>
      <c r="BP1" s="28"/>
      <c r="BQ1" s="28"/>
      <c r="BR1" s="28"/>
      <c r="BS1" s="28"/>
      <c r="BT1" s="28"/>
      <c r="BU1" s="28"/>
      <c r="BV1" s="28"/>
      <c r="BW1" s="28"/>
      <c r="BX1" s="28"/>
      <c r="BY1" s="29"/>
      <c r="BZ1" s="27" t="s">
        <v>180</v>
      </c>
      <c r="CA1" s="28"/>
      <c r="CB1" s="28"/>
      <c r="CC1" s="28"/>
      <c r="CD1" s="28"/>
      <c r="CE1" s="28"/>
      <c r="CF1" s="28"/>
      <c r="CG1" s="28"/>
      <c r="CH1" s="28"/>
      <c r="CI1" s="29"/>
      <c r="CJ1" s="27" t="s">
        <v>181</v>
      </c>
      <c r="CK1" s="28"/>
      <c r="CL1" s="28"/>
      <c r="CM1" s="28"/>
      <c r="CN1" s="28"/>
      <c r="CO1" s="28"/>
      <c r="CP1" s="28"/>
      <c r="CQ1" s="28"/>
      <c r="CR1" s="28"/>
      <c r="CS1" s="29"/>
      <c r="CT1" s="27" t="s">
        <v>182</v>
      </c>
      <c r="CU1" s="28"/>
      <c r="CV1" s="28"/>
      <c r="CW1" s="28"/>
      <c r="CX1" s="28"/>
      <c r="CY1" s="28"/>
      <c r="CZ1" s="28"/>
      <c r="DA1" s="28"/>
      <c r="DB1" s="28"/>
      <c r="DC1" s="28"/>
      <c r="DD1" s="29"/>
      <c r="DE1" s="27" t="s">
        <v>183</v>
      </c>
      <c r="DF1" s="28"/>
      <c r="DG1" s="28"/>
      <c r="DH1" s="28"/>
      <c r="DI1" s="28"/>
      <c r="DJ1" s="28"/>
      <c r="DK1" s="28"/>
      <c r="DL1" s="28"/>
      <c r="DM1" s="28"/>
      <c r="DN1" s="29"/>
      <c r="DO1" s="27" t="s">
        <v>184</v>
      </c>
      <c r="DP1" s="28"/>
      <c r="DQ1" s="28"/>
      <c r="DR1" s="28"/>
      <c r="DS1" s="28"/>
      <c r="DT1" s="28"/>
      <c r="DU1" s="28"/>
      <c r="DV1" s="28"/>
      <c r="DW1" s="28"/>
      <c r="DX1" s="29"/>
      <c r="DY1" s="27" t="s">
        <v>185</v>
      </c>
      <c r="DZ1" s="28"/>
      <c r="EA1" s="28"/>
      <c r="EB1" s="28"/>
      <c r="EC1" s="29"/>
      <c r="ED1" s="26"/>
      <c r="EE1" s="23"/>
    </row>
    <row r="2" spans="1:135" ht="17" thickBot="1" x14ac:dyDescent="0.25">
      <c r="A2" s="7"/>
      <c r="B2" s="20" t="s">
        <v>172</v>
      </c>
      <c r="C2" s="21" t="s">
        <v>0</v>
      </c>
      <c r="D2" s="22" t="s">
        <v>1</v>
      </c>
      <c r="E2" s="22" t="s">
        <v>171</v>
      </c>
      <c r="F2" s="22" t="s">
        <v>2</v>
      </c>
      <c r="G2" s="22" t="s">
        <v>3</v>
      </c>
      <c r="H2" s="22" t="s">
        <v>4</v>
      </c>
      <c r="I2" s="22" t="s">
        <v>5</v>
      </c>
      <c r="J2" s="22" t="s">
        <v>6</v>
      </c>
      <c r="K2" s="22" t="s">
        <v>7</v>
      </c>
      <c r="L2" s="22" t="s">
        <v>8</v>
      </c>
      <c r="M2" s="22" t="s">
        <v>9</v>
      </c>
      <c r="N2" s="22" t="s">
        <v>10</v>
      </c>
      <c r="O2" s="22" t="s">
        <v>11</v>
      </c>
      <c r="P2" s="22" t="s">
        <v>12</v>
      </c>
      <c r="Q2" s="22" t="s">
        <v>13</v>
      </c>
      <c r="R2" s="22" t="s">
        <v>14</v>
      </c>
      <c r="S2" s="22" t="s">
        <v>15</v>
      </c>
      <c r="T2" s="22" t="s">
        <v>16</v>
      </c>
      <c r="U2" s="20" t="s">
        <v>17</v>
      </c>
      <c r="V2" s="21" t="s">
        <v>18</v>
      </c>
      <c r="W2" s="20" t="s">
        <v>19</v>
      </c>
      <c r="X2" s="24" t="s">
        <v>20</v>
      </c>
      <c r="Y2" s="22" t="s">
        <v>21</v>
      </c>
      <c r="Z2" s="22" t="s">
        <v>22</v>
      </c>
      <c r="AA2" s="22" t="s">
        <v>23</v>
      </c>
      <c r="AB2" s="22" t="s">
        <v>24</v>
      </c>
      <c r="AC2" s="22" t="s">
        <v>25</v>
      </c>
      <c r="AD2" s="22" t="s">
        <v>26</v>
      </c>
      <c r="AE2" s="22" t="s">
        <v>27</v>
      </c>
      <c r="AF2" s="22" t="s">
        <v>28</v>
      </c>
      <c r="AG2" s="22" t="s">
        <v>29</v>
      </c>
      <c r="AH2" s="22" t="s">
        <v>30</v>
      </c>
      <c r="AI2" s="21" t="s">
        <v>31</v>
      </c>
      <c r="AJ2" s="24" t="s">
        <v>32</v>
      </c>
      <c r="AK2" s="22" t="s">
        <v>33</v>
      </c>
      <c r="AL2" s="22" t="s">
        <v>34</v>
      </c>
      <c r="AM2" s="22" t="s">
        <v>35</v>
      </c>
      <c r="AN2" s="22" t="s">
        <v>36</v>
      </c>
      <c r="AO2" s="22" t="s">
        <v>37</v>
      </c>
      <c r="AP2" s="22" t="s">
        <v>38</v>
      </c>
      <c r="AQ2" s="22" t="s">
        <v>39</v>
      </c>
      <c r="AR2" s="22" t="s">
        <v>40</v>
      </c>
      <c r="AS2" s="22" t="s">
        <v>41</v>
      </c>
      <c r="AT2" s="21" t="s">
        <v>42</v>
      </c>
      <c r="AU2" s="24" t="s">
        <v>187</v>
      </c>
      <c r="AV2" s="22" t="s">
        <v>188</v>
      </c>
      <c r="AW2" s="22" t="s">
        <v>189</v>
      </c>
      <c r="AX2" s="22" t="s">
        <v>57</v>
      </c>
      <c r="AY2" s="22" t="s">
        <v>54</v>
      </c>
      <c r="AZ2" s="22" t="s">
        <v>55</v>
      </c>
      <c r="BA2" s="22" t="s">
        <v>58</v>
      </c>
      <c r="BB2" s="22" t="s">
        <v>186</v>
      </c>
      <c r="BC2" s="22" t="s">
        <v>190</v>
      </c>
      <c r="BD2" s="21" t="s">
        <v>191</v>
      </c>
      <c r="BE2" s="24" t="s">
        <v>187</v>
      </c>
      <c r="BF2" s="22" t="s">
        <v>188</v>
      </c>
      <c r="BG2" s="22" t="s">
        <v>189</v>
      </c>
      <c r="BH2" s="22" t="s">
        <v>57</v>
      </c>
      <c r="BI2" s="22" t="s">
        <v>54</v>
      </c>
      <c r="BJ2" s="22" t="s">
        <v>55</v>
      </c>
      <c r="BK2" s="22" t="s">
        <v>58</v>
      </c>
      <c r="BL2" s="22" t="s">
        <v>186</v>
      </c>
      <c r="BM2" s="22" t="s">
        <v>190</v>
      </c>
      <c r="BN2" s="21" t="s">
        <v>191</v>
      </c>
      <c r="BO2" s="24" t="s">
        <v>187</v>
      </c>
      <c r="BP2" s="22" t="s">
        <v>188</v>
      </c>
      <c r="BQ2" s="22" t="s">
        <v>189</v>
      </c>
      <c r="BR2" s="22" t="s">
        <v>57</v>
      </c>
      <c r="BS2" s="22" t="s">
        <v>54</v>
      </c>
      <c r="BT2" s="22" t="s">
        <v>55</v>
      </c>
      <c r="BU2" s="22" t="s">
        <v>56</v>
      </c>
      <c r="BV2" s="22" t="s">
        <v>58</v>
      </c>
      <c r="BW2" s="22" t="s">
        <v>186</v>
      </c>
      <c r="BX2" s="22" t="s">
        <v>190</v>
      </c>
      <c r="BY2" s="21" t="s">
        <v>191</v>
      </c>
      <c r="BZ2" s="24" t="s">
        <v>187</v>
      </c>
      <c r="CA2" s="22" t="s">
        <v>188</v>
      </c>
      <c r="CB2" s="22" t="s">
        <v>189</v>
      </c>
      <c r="CC2" s="22" t="s">
        <v>57</v>
      </c>
      <c r="CD2" s="22" t="s">
        <v>54</v>
      </c>
      <c r="CE2" s="22" t="s">
        <v>55</v>
      </c>
      <c r="CF2" s="22" t="s">
        <v>58</v>
      </c>
      <c r="CG2" s="22" t="s">
        <v>186</v>
      </c>
      <c r="CH2" s="22" t="s">
        <v>190</v>
      </c>
      <c r="CI2" s="21" t="s">
        <v>191</v>
      </c>
      <c r="CJ2" s="24" t="s">
        <v>187</v>
      </c>
      <c r="CK2" s="22" t="s">
        <v>188</v>
      </c>
      <c r="CL2" s="22" t="s">
        <v>189</v>
      </c>
      <c r="CM2" s="22" t="s">
        <v>57</v>
      </c>
      <c r="CN2" s="22" t="s">
        <v>54</v>
      </c>
      <c r="CO2" s="22" t="s">
        <v>55</v>
      </c>
      <c r="CP2" s="22" t="s">
        <v>58</v>
      </c>
      <c r="CQ2" s="22" t="s">
        <v>186</v>
      </c>
      <c r="CR2" s="22" t="s">
        <v>190</v>
      </c>
      <c r="CS2" s="21" t="s">
        <v>191</v>
      </c>
      <c r="CT2" s="24" t="s">
        <v>43</v>
      </c>
      <c r="CU2" s="22" t="s">
        <v>44</v>
      </c>
      <c r="CV2" s="22" t="s">
        <v>45</v>
      </c>
      <c r="CW2" s="22" t="s">
        <v>46</v>
      </c>
      <c r="CX2" s="22" t="s">
        <v>47</v>
      </c>
      <c r="CY2" s="22" t="s">
        <v>48</v>
      </c>
      <c r="CZ2" s="22" t="s">
        <v>49</v>
      </c>
      <c r="DA2" s="22" t="s">
        <v>50</v>
      </c>
      <c r="DB2" s="22" t="s">
        <v>51</v>
      </c>
      <c r="DC2" s="22" t="s">
        <v>52</v>
      </c>
      <c r="DD2" s="21" t="s">
        <v>53</v>
      </c>
      <c r="DE2" s="24" t="s">
        <v>187</v>
      </c>
      <c r="DF2" s="22" t="s">
        <v>188</v>
      </c>
      <c r="DG2" s="22" t="s">
        <v>189</v>
      </c>
      <c r="DH2" s="22" t="s">
        <v>57</v>
      </c>
      <c r="DI2" s="22" t="s">
        <v>54</v>
      </c>
      <c r="DJ2" s="22" t="s">
        <v>55</v>
      </c>
      <c r="DK2" s="22" t="s">
        <v>58</v>
      </c>
      <c r="DL2" s="22" t="s">
        <v>186</v>
      </c>
      <c r="DM2" s="22" t="s">
        <v>190</v>
      </c>
      <c r="DN2" s="21" t="s">
        <v>191</v>
      </c>
      <c r="DO2" s="24" t="s">
        <v>187</v>
      </c>
      <c r="DP2" s="22" t="s">
        <v>188</v>
      </c>
      <c r="DQ2" s="22" t="s">
        <v>189</v>
      </c>
      <c r="DR2" s="22" t="s">
        <v>57</v>
      </c>
      <c r="DS2" s="22" t="s">
        <v>54</v>
      </c>
      <c r="DT2" s="22" t="s">
        <v>55</v>
      </c>
      <c r="DU2" s="22" t="s">
        <v>58</v>
      </c>
      <c r="DV2" s="22" t="s">
        <v>186</v>
      </c>
      <c r="DW2" s="22" t="s">
        <v>190</v>
      </c>
      <c r="DX2" s="21" t="s">
        <v>191</v>
      </c>
      <c r="DY2" s="24" t="s">
        <v>54</v>
      </c>
      <c r="DZ2" s="22" t="s">
        <v>55</v>
      </c>
      <c r="EA2" s="22" t="s">
        <v>56</v>
      </c>
      <c r="EB2" s="22" t="s">
        <v>57</v>
      </c>
      <c r="EC2" s="22" t="s">
        <v>58</v>
      </c>
      <c r="ED2" s="20" t="s">
        <v>59</v>
      </c>
      <c r="EE2" s="21" t="s">
        <v>60</v>
      </c>
    </row>
    <row r="3" spans="1:135" x14ac:dyDescent="0.2">
      <c r="A3" s="30" t="s">
        <v>173</v>
      </c>
      <c r="B3" s="3">
        <v>2</v>
      </c>
      <c r="C3" s="8" t="s">
        <v>74</v>
      </c>
      <c r="D3" s="9" t="s">
        <v>62</v>
      </c>
      <c r="E3" s="9" t="str">
        <f t="shared" ref="E3:E34" si="0">IF(EA3&lt;MEDIAN(EA$3:EA$56),"EMT_low","EMT_high")</f>
        <v>EMT_high</v>
      </c>
      <c r="F3" s="9" t="s">
        <v>63</v>
      </c>
      <c r="G3" s="9" t="s">
        <v>64</v>
      </c>
      <c r="H3" s="9">
        <v>1</v>
      </c>
      <c r="I3" s="9" t="s">
        <v>64</v>
      </c>
      <c r="J3" s="9" t="s">
        <v>65</v>
      </c>
      <c r="K3" s="9" t="s">
        <v>66</v>
      </c>
      <c r="L3" s="9">
        <v>-0.223</v>
      </c>
      <c r="M3" s="9">
        <v>6</v>
      </c>
      <c r="N3" s="9">
        <v>2.6200000000000001E-2</v>
      </c>
      <c r="O3" s="9">
        <v>-0.36649999999999999</v>
      </c>
      <c r="P3" s="9" t="s">
        <v>75</v>
      </c>
      <c r="Q3" s="9" t="s">
        <v>68</v>
      </c>
      <c r="R3" s="9">
        <v>59.170400000000001</v>
      </c>
      <c r="S3" s="9">
        <v>43.6693</v>
      </c>
      <c r="T3" s="9"/>
      <c r="U3" s="3"/>
      <c r="V3" s="8">
        <v>0</v>
      </c>
      <c r="W3" s="3">
        <v>1292</v>
      </c>
      <c r="X3" s="16"/>
      <c r="Y3" s="9">
        <v>87371.571070969701</v>
      </c>
      <c r="Z3" s="9">
        <v>720879.18366948701</v>
      </c>
      <c r="AA3" s="9">
        <v>366166.19985259802</v>
      </c>
      <c r="AB3" s="9">
        <v>12816.140672699699</v>
      </c>
      <c r="AC3" s="9">
        <v>88088.749031248793</v>
      </c>
      <c r="AD3" s="9">
        <v>1653042.7926855099</v>
      </c>
      <c r="AE3" s="9">
        <v>330235.88074990298</v>
      </c>
      <c r="AF3" s="9">
        <v>258220.84208172999</v>
      </c>
      <c r="AG3" s="9">
        <v>4515.7829590423598</v>
      </c>
      <c r="AH3" s="9">
        <v>220730.274611995</v>
      </c>
      <c r="AI3" s="8">
        <v>89930.516201410705</v>
      </c>
      <c r="AJ3" s="16"/>
      <c r="AK3" s="9">
        <v>0.14882963426280599</v>
      </c>
      <c r="AL3" s="9">
        <v>0.491670784838107</v>
      </c>
      <c r="AM3" s="9">
        <v>0.27537826909280599</v>
      </c>
      <c r="AN3" s="9">
        <v>1.42266958307009E-2</v>
      </c>
      <c r="AO3" s="9">
        <v>7.4281501973379196E-2</v>
      </c>
      <c r="AP3" s="9">
        <v>0.68820993813238196</v>
      </c>
      <c r="AQ3" s="9">
        <v>0.16047323402956501</v>
      </c>
      <c r="AR3" s="9">
        <v>1.47227973314929E-2</v>
      </c>
      <c r="AS3" s="9">
        <v>0.56959284143905597</v>
      </c>
      <c r="AT3" s="8">
        <v>0.19384953565625801</v>
      </c>
      <c r="AU3" s="16"/>
      <c r="AV3" s="9" cm="1">
        <f t="array" aca="1" ref="AV3" ca="1">-18.3155570674784+AV3:AV56</f>
        <v>0</v>
      </c>
      <c r="AW3" s="9">
        <v>-41.198073267061602</v>
      </c>
      <c r="AX3" s="9">
        <v>-36.5362393123403</v>
      </c>
      <c r="AY3" s="9">
        <v>-3.2209005412356801</v>
      </c>
      <c r="AZ3" s="9">
        <v>1.0153320438890701</v>
      </c>
      <c r="BA3" s="9">
        <v>-9.5567243744744896</v>
      </c>
      <c r="BB3" s="9">
        <v>-3.5677744366481199</v>
      </c>
      <c r="BC3" s="9">
        <v>-10.792931955863599</v>
      </c>
      <c r="BD3" s="8">
        <v>-10.471833581297901</v>
      </c>
      <c r="BE3" s="16"/>
      <c r="BF3" s="9">
        <v>12.6127678479578</v>
      </c>
      <c r="BG3" s="9">
        <v>11.244371857098001</v>
      </c>
      <c r="BH3" s="9">
        <v>20.449684153758099</v>
      </c>
      <c r="BI3" s="9"/>
      <c r="BJ3" s="9">
        <v>33.537978298115299</v>
      </c>
      <c r="BK3" s="9">
        <v>23.555583460780401</v>
      </c>
      <c r="BL3" s="9"/>
      <c r="BM3" s="9">
        <v>23.459723834798801</v>
      </c>
      <c r="BN3" s="8">
        <v>5.5629502035703098</v>
      </c>
      <c r="BO3" s="16"/>
      <c r="BP3" s="9">
        <v>0.66385361344038096</v>
      </c>
      <c r="BQ3" s="9">
        <v>0.84218645204560705</v>
      </c>
      <c r="BR3" s="9">
        <v>0.69314215487603703</v>
      </c>
      <c r="BS3" s="9">
        <v>9.6043875738584597E-2</v>
      </c>
      <c r="BT3" s="9">
        <v>0.29193110969293901</v>
      </c>
      <c r="BU3" s="9">
        <v>0.94926227040048095</v>
      </c>
      <c r="BV3" s="9">
        <v>0.58386751821788896</v>
      </c>
      <c r="BW3" s="9">
        <v>0.11893259719346599</v>
      </c>
      <c r="BX3" s="9">
        <v>0.98630136986301298</v>
      </c>
      <c r="BY3" s="8">
        <v>0.55245911254314595</v>
      </c>
      <c r="BZ3" s="16"/>
      <c r="CA3" s="9">
        <v>-8.1649208906875099</v>
      </c>
      <c r="CB3" s="9">
        <v>-19.911522630867701</v>
      </c>
      <c r="CC3" s="9">
        <v>5.0373420625202003</v>
      </c>
      <c r="CD3" s="9">
        <v>2.3576847965605698</v>
      </c>
      <c r="CE3" s="9">
        <v>12.4425752420777</v>
      </c>
      <c r="CF3" s="9">
        <v>12.001420762196799</v>
      </c>
      <c r="CG3" s="9">
        <v>-2.9778907196388902</v>
      </c>
      <c r="CH3" s="9">
        <v>-4.6588430887137102</v>
      </c>
      <c r="CI3" s="8">
        <v>-9.7541261837951101</v>
      </c>
      <c r="CJ3" s="16"/>
      <c r="CK3" s="9">
        <v>265.11488845238603</v>
      </c>
      <c r="CL3" s="9">
        <v>255.94915966187</v>
      </c>
      <c r="CM3" s="9">
        <v>333.80598917011099</v>
      </c>
      <c r="CN3" s="9"/>
      <c r="CO3" s="9">
        <v>388.81972206358199</v>
      </c>
      <c r="CP3" s="9">
        <v>377.22906515739101</v>
      </c>
      <c r="CQ3" s="9"/>
      <c r="CR3" s="9">
        <v>305.72063287454898</v>
      </c>
      <c r="CS3" s="8">
        <v>134.48715941121199</v>
      </c>
      <c r="CT3" s="16"/>
      <c r="CU3" s="9">
        <v>0.96247941660785696</v>
      </c>
      <c r="CV3" s="9">
        <v>0.99678068410462695</v>
      </c>
      <c r="CW3" s="9">
        <v>0.99212875939849599</v>
      </c>
      <c r="CX3" s="9">
        <v>0.41410876080062298</v>
      </c>
      <c r="CY3" s="9">
        <v>0.75485741784032001</v>
      </c>
      <c r="CZ3" s="9">
        <v>0.99819331526648603</v>
      </c>
      <c r="DA3" s="9">
        <v>0.98794700062960294</v>
      </c>
      <c r="DB3" s="9">
        <v>0.41890959282263601</v>
      </c>
      <c r="DC3" s="9">
        <v>1</v>
      </c>
      <c r="DD3" s="8">
        <v>0.88071725571725501</v>
      </c>
      <c r="DE3" s="16"/>
      <c r="DF3" s="9">
        <v>-2.2575231810529899</v>
      </c>
      <c r="DG3" s="9">
        <v>-4.8019681650843804</v>
      </c>
      <c r="DH3" s="9">
        <v>9.3618707183520193</v>
      </c>
      <c r="DI3" s="9">
        <v>0.76592594032982197</v>
      </c>
      <c r="DJ3" s="9">
        <v>6.5847689133762897</v>
      </c>
      <c r="DK3" s="9">
        <v>6.3095988715390297</v>
      </c>
      <c r="DL3" s="9">
        <v>-1.99215467199736</v>
      </c>
      <c r="DM3" s="9">
        <v>-2.1222243299311301</v>
      </c>
      <c r="DN3" s="8">
        <v>-2.7116023190202401</v>
      </c>
      <c r="DO3" s="9"/>
      <c r="DP3" s="9">
        <v>2123.0616149420398</v>
      </c>
      <c r="DQ3" s="9">
        <v>2039.2959178374999</v>
      </c>
      <c r="DR3" s="9">
        <v>2407.2529222671301</v>
      </c>
      <c r="DS3" s="9"/>
      <c r="DT3" s="9">
        <v>1944.81629545021</v>
      </c>
      <c r="DU3" s="9">
        <v>2406.4593725577402</v>
      </c>
      <c r="DV3" s="9"/>
      <c r="DW3" s="9">
        <v>2156.4613108751601</v>
      </c>
      <c r="DX3" s="8">
        <v>1400.66003758221</v>
      </c>
      <c r="DY3" s="16">
        <v>0.37396450969634298</v>
      </c>
      <c r="DZ3" s="9">
        <v>4.5349440486058601</v>
      </c>
      <c r="EA3" s="9">
        <v>68.626589014997094</v>
      </c>
      <c r="EB3" s="9">
        <v>12.826572299508101</v>
      </c>
      <c r="EC3" s="9">
        <v>13.6379301271924</v>
      </c>
      <c r="ED3" s="3">
        <v>67.607336233253207</v>
      </c>
      <c r="EE3" s="8">
        <v>5359.5</v>
      </c>
    </row>
    <row r="4" spans="1:135" x14ac:dyDescent="0.2">
      <c r="A4" s="30"/>
      <c r="B4" s="3">
        <v>6</v>
      </c>
      <c r="C4" s="8" t="s">
        <v>84</v>
      </c>
      <c r="D4" s="9" t="s">
        <v>62</v>
      </c>
      <c r="E4" s="9" t="str">
        <f t="shared" si="0"/>
        <v>EMT_high</v>
      </c>
      <c r="F4" s="9" t="s">
        <v>63</v>
      </c>
      <c r="G4" s="9" t="s">
        <v>64</v>
      </c>
      <c r="H4" s="9">
        <v>1</v>
      </c>
      <c r="I4" s="9" t="s">
        <v>64</v>
      </c>
      <c r="J4" s="9" t="s">
        <v>65</v>
      </c>
      <c r="K4" s="9" t="s">
        <v>66</v>
      </c>
      <c r="L4" s="9">
        <v>-0.37440000000000001</v>
      </c>
      <c r="M4" s="9">
        <v>29</v>
      </c>
      <c r="N4" s="9">
        <v>-0.16339999999999999</v>
      </c>
      <c r="O4" s="9">
        <v>-0.55810000000000004</v>
      </c>
      <c r="P4" s="9" t="s">
        <v>85</v>
      </c>
      <c r="Q4" s="9" t="s">
        <v>68</v>
      </c>
      <c r="R4" s="9">
        <v>87.271199999999993</v>
      </c>
      <c r="S4" s="9">
        <v>7.6365999999999996</v>
      </c>
      <c r="T4" s="9" t="s">
        <v>73</v>
      </c>
      <c r="U4" s="3">
        <v>6.32</v>
      </c>
      <c r="V4" s="8">
        <v>0</v>
      </c>
      <c r="W4" s="3">
        <v>1978</v>
      </c>
      <c r="X4" s="16">
        <v>86914.157825033704</v>
      </c>
      <c r="Y4" s="9">
        <v>76707.313936442399</v>
      </c>
      <c r="Z4" s="9">
        <v>1347650.93850364</v>
      </c>
      <c r="AA4" s="9">
        <v>174205.827861342</v>
      </c>
      <c r="AB4" s="9">
        <v>152181.489360996</v>
      </c>
      <c r="AC4" s="9">
        <v>101672.702536987</v>
      </c>
      <c r="AD4" s="9">
        <v>1376458.8801929699</v>
      </c>
      <c r="AE4" s="9">
        <v>268003.91155325097</v>
      </c>
      <c r="AF4" s="9">
        <v>192457.95474089801</v>
      </c>
      <c r="AG4" s="9">
        <v>931.96402012387705</v>
      </c>
      <c r="AH4" s="9">
        <v>208624.21839465699</v>
      </c>
      <c r="AI4" s="8">
        <v>103590.111166166</v>
      </c>
      <c r="AJ4" s="16">
        <v>0.156660039761431</v>
      </c>
      <c r="AK4" s="9">
        <v>0.11259580141200499</v>
      </c>
      <c r="AL4" s="9">
        <v>0.57007870388943105</v>
      </c>
      <c r="AM4" s="9">
        <v>0.124705977349946</v>
      </c>
      <c r="AN4" s="9">
        <v>9.8395108903324396E-2</v>
      </c>
      <c r="AO4" s="9">
        <v>7.3719587061690198E-2</v>
      </c>
      <c r="AP4" s="9">
        <v>0.48116519659033802</v>
      </c>
      <c r="AQ4" s="9">
        <v>0.103509317960264</v>
      </c>
      <c r="AR4" s="9">
        <v>3.81237845877455E-3</v>
      </c>
      <c r="AS4" s="9">
        <v>0.42261021632838203</v>
      </c>
      <c r="AT4" s="8">
        <v>0.227149466480737</v>
      </c>
      <c r="AU4" s="16">
        <v>-6.8464509310746999</v>
      </c>
      <c r="AV4" s="9">
        <v>-17.748397169833702</v>
      </c>
      <c r="AW4" s="9">
        <v>-50.619442141921397</v>
      </c>
      <c r="AX4" s="9">
        <v>-9.4062007527464395</v>
      </c>
      <c r="AY4" s="9">
        <v>-15.170113685827401</v>
      </c>
      <c r="AZ4" s="9">
        <v>1.26326588394961</v>
      </c>
      <c r="BA4" s="9">
        <v>11.3549948349942</v>
      </c>
      <c r="BB4" s="9">
        <v>-2.6287862466427199</v>
      </c>
      <c r="BC4" s="9">
        <v>-11.4139637096249</v>
      </c>
      <c r="BD4" s="8">
        <v>-10.1922612557417</v>
      </c>
      <c r="BE4" s="16">
        <v>3.8785563486478298</v>
      </c>
      <c r="BF4" s="9">
        <v>3.0598438048428598</v>
      </c>
      <c r="BG4" s="9">
        <v>6.1121881006264003</v>
      </c>
      <c r="BH4" s="9">
        <v>18.894709144642299</v>
      </c>
      <c r="BI4" s="9">
        <v>17.980036116940799</v>
      </c>
      <c r="BJ4" s="9">
        <v>26.345076467305699</v>
      </c>
      <c r="BK4" s="9">
        <v>32.710572966917397</v>
      </c>
      <c r="BL4" s="9"/>
      <c r="BM4" s="9">
        <v>11.606173823964999</v>
      </c>
      <c r="BN4" s="8">
        <v>5.5030916371099803</v>
      </c>
      <c r="BO4" s="16">
        <v>0.65606361829025805</v>
      </c>
      <c r="BP4" s="9">
        <v>0.558919688315343</v>
      </c>
      <c r="BQ4" s="9">
        <v>0.865079365079365</v>
      </c>
      <c r="BR4" s="9">
        <v>0.51893582694017304</v>
      </c>
      <c r="BS4" s="9">
        <v>0.42777990064959798</v>
      </c>
      <c r="BT4" s="9">
        <v>0.39120689722408902</v>
      </c>
      <c r="BU4" s="9">
        <v>0.88551616481717699</v>
      </c>
      <c r="BV4" s="9">
        <v>0.39640103384386799</v>
      </c>
      <c r="BW4" s="9">
        <v>4.5644527671490798E-2</v>
      </c>
      <c r="BX4" s="9">
        <v>0.92086398792680602</v>
      </c>
      <c r="BY4" s="8">
        <v>0.68913020885083498</v>
      </c>
      <c r="BZ4" s="16">
        <v>-5.1359162012490502</v>
      </c>
      <c r="CA4" s="9">
        <v>-14.5208751366981</v>
      </c>
      <c r="CB4" s="9">
        <v>-37.035332381525002</v>
      </c>
      <c r="CC4" s="9">
        <v>5.9645513263899597</v>
      </c>
      <c r="CD4" s="9">
        <v>2.6736359561588201</v>
      </c>
      <c r="CE4" s="9">
        <v>5.7527217528193599</v>
      </c>
      <c r="CF4" s="9">
        <v>31.4101348727418</v>
      </c>
      <c r="CG4" s="9">
        <v>-2.82093930466357</v>
      </c>
      <c r="CH4" s="9">
        <v>-10.036791289855501</v>
      </c>
      <c r="CI4" s="8">
        <v>-11.1443812056845</v>
      </c>
      <c r="CJ4" s="16">
        <v>109.892429878355</v>
      </c>
      <c r="CK4" s="9">
        <v>117.06913453521599</v>
      </c>
      <c r="CL4" s="9">
        <v>140.002115044764</v>
      </c>
      <c r="CM4" s="9">
        <v>274.51130966450103</v>
      </c>
      <c r="CN4" s="9">
        <v>317.601554004587</v>
      </c>
      <c r="CO4" s="9">
        <v>269.788878334549</v>
      </c>
      <c r="CP4" s="9">
        <v>384.742741427753</v>
      </c>
      <c r="CQ4" s="9"/>
      <c r="CR4" s="9">
        <v>162.79917699497</v>
      </c>
      <c r="CS4" s="8">
        <v>112.14024711302601</v>
      </c>
      <c r="CT4" s="16">
        <v>1</v>
      </c>
      <c r="CU4" s="9">
        <v>0.99618684461391704</v>
      </c>
      <c r="CV4" s="9">
        <v>1</v>
      </c>
      <c r="CW4" s="9">
        <v>0.83451397087760704</v>
      </c>
      <c r="CX4" s="9">
        <v>0.99025601834161203</v>
      </c>
      <c r="CY4" s="9">
        <v>0.887480190174326</v>
      </c>
      <c r="CZ4" s="9">
        <v>1</v>
      </c>
      <c r="DA4" s="9">
        <v>0.80549974935891</v>
      </c>
      <c r="DB4" s="9">
        <v>0.44643082623440999</v>
      </c>
      <c r="DC4" s="9">
        <v>1</v>
      </c>
      <c r="DD4" s="8">
        <v>0.96657381615598803</v>
      </c>
      <c r="DE4" s="16">
        <v>-4.4207875091692799</v>
      </c>
      <c r="DF4" s="9">
        <v>-6.3830693177580802</v>
      </c>
      <c r="DG4" s="9">
        <v>-10.171675020302899</v>
      </c>
      <c r="DH4" s="9">
        <v>5.3424453184765701</v>
      </c>
      <c r="DI4" s="9">
        <v>6.4915982544511701</v>
      </c>
      <c r="DJ4" s="9">
        <v>2.6052491780658098</v>
      </c>
      <c r="DK4" s="9">
        <v>10.4523831548319</v>
      </c>
      <c r="DL4" s="9">
        <v>0.187994351884961</v>
      </c>
      <c r="DM4" s="9">
        <v>-2.8151510328143798</v>
      </c>
      <c r="DN4" s="8">
        <v>-7.2746471220863702</v>
      </c>
      <c r="DO4" s="9">
        <v>764.33417110686605</v>
      </c>
      <c r="DP4" s="9">
        <v>1132.6064068349001</v>
      </c>
      <c r="DQ4" s="9">
        <v>1296.1349771758</v>
      </c>
      <c r="DR4" s="9">
        <v>1620.8520112762001</v>
      </c>
      <c r="DS4" s="9">
        <v>2240.3040538825699</v>
      </c>
      <c r="DT4" s="9">
        <v>1564.7947062908299</v>
      </c>
      <c r="DU4" s="9">
        <v>1730.56519429011</v>
      </c>
      <c r="DV4" s="9"/>
      <c r="DW4" s="9">
        <v>1354.19880205714</v>
      </c>
      <c r="DX4" s="8">
        <v>1066.95861453974</v>
      </c>
      <c r="DY4" s="16">
        <v>2.7140156629759602</v>
      </c>
      <c r="DZ4" s="9">
        <v>5.8893574394519499</v>
      </c>
      <c r="EA4" s="9">
        <v>69.135304938707506</v>
      </c>
      <c r="EB4" s="9">
        <v>7.3394175662606598</v>
      </c>
      <c r="EC4" s="9">
        <v>14.9219043926038</v>
      </c>
      <c r="ED4" s="3">
        <v>50.014417599831503</v>
      </c>
      <c r="EE4" s="8">
        <v>3653</v>
      </c>
    </row>
    <row r="5" spans="1:135" x14ac:dyDescent="0.2">
      <c r="A5" s="30"/>
      <c r="B5" s="3">
        <v>7</v>
      </c>
      <c r="C5" s="8" t="s">
        <v>86</v>
      </c>
      <c r="D5" s="9" t="s">
        <v>62</v>
      </c>
      <c r="E5" s="9" t="str">
        <f t="shared" si="0"/>
        <v>EMT_high</v>
      </c>
      <c r="F5" s="9"/>
      <c r="G5" s="9"/>
      <c r="H5" s="9"/>
      <c r="I5" s="9" t="s">
        <v>64</v>
      </c>
      <c r="J5" s="9" t="s">
        <v>65</v>
      </c>
      <c r="K5" s="9" t="s">
        <v>66</v>
      </c>
      <c r="L5" s="9">
        <v>-0.13689999999999999</v>
      </c>
      <c r="M5" s="9">
        <v>316</v>
      </c>
      <c r="N5" s="9">
        <v>-0.11</v>
      </c>
      <c r="O5" s="9">
        <v>-0.62239999999999995</v>
      </c>
      <c r="P5" s="9" t="s">
        <v>87</v>
      </c>
      <c r="Q5" s="9" t="s">
        <v>68</v>
      </c>
      <c r="R5" s="9">
        <v>80.998599999999996</v>
      </c>
      <c r="S5" s="9">
        <v>30.063099999999999</v>
      </c>
      <c r="T5" s="9"/>
      <c r="U5" s="3"/>
      <c r="V5" s="8">
        <v>0</v>
      </c>
      <c r="W5" s="3">
        <v>13</v>
      </c>
      <c r="X5" s="16">
        <v>0</v>
      </c>
      <c r="Y5" s="9">
        <v>87221.754995244497</v>
      </c>
      <c r="Z5" s="9">
        <v>244327.65563665901</v>
      </c>
      <c r="AA5" s="9">
        <v>18062.745657264401</v>
      </c>
      <c r="AB5" s="9"/>
      <c r="AC5" s="9"/>
      <c r="AD5" s="9">
        <v>2455998.68392435</v>
      </c>
      <c r="AE5" s="9">
        <v>358479.31974435702</v>
      </c>
      <c r="AF5" s="9">
        <v>424025.73097524501</v>
      </c>
      <c r="AG5" s="9"/>
      <c r="AH5" s="9">
        <v>96582.403410484796</v>
      </c>
      <c r="AI5" s="8">
        <v>124932.32806359101</v>
      </c>
      <c r="AJ5" s="16">
        <v>4.2884550276491998E-3</v>
      </c>
      <c r="AK5" s="9">
        <v>0.37116139459709002</v>
      </c>
      <c r="AL5" s="9">
        <v>0.42075448957454498</v>
      </c>
      <c r="AM5" s="9">
        <v>1.06346871818078E-2</v>
      </c>
      <c r="AN5" s="9"/>
      <c r="AO5" s="9"/>
      <c r="AP5" s="9">
        <v>0.88001263024944698</v>
      </c>
      <c r="AQ5" s="9">
        <v>0.24594696493653301</v>
      </c>
      <c r="AR5" s="9"/>
      <c r="AS5" s="9">
        <v>0.455819339895773</v>
      </c>
      <c r="AT5" s="8">
        <v>0.31087183049669997</v>
      </c>
      <c r="AU5" s="16">
        <v>-1.46010412552445</v>
      </c>
      <c r="AV5" s="9">
        <v>-17.889512908388099</v>
      </c>
      <c r="AW5" s="9">
        <v>-39.837802149430701</v>
      </c>
      <c r="AX5" s="9">
        <v>-5.35048915863484</v>
      </c>
      <c r="AY5" s="9"/>
      <c r="AZ5" s="9"/>
      <c r="BA5" s="9">
        <v>-76.416923858131398</v>
      </c>
      <c r="BB5" s="9"/>
      <c r="BC5" s="9">
        <v>-18.666159525585499</v>
      </c>
      <c r="BD5" s="8">
        <v>-31.0650600952786</v>
      </c>
      <c r="BE5" s="16"/>
      <c r="BF5" s="9">
        <v>29.484802458296699</v>
      </c>
      <c r="BG5" s="9">
        <v>26.943685735818502</v>
      </c>
      <c r="BH5" s="9">
        <v>31.524418826583101</v>
      </c>
      <c r="BI5" s="9"/>
      <c r="BJ5" s="9"/>
      <c r="BK5" s="9">
        <v>18.310071352693701</v>
      </c>
      <c r="BL5" s="9"/>
      <c r="BM5" s="9">
        <v>31.557200264549198</v>
      </c>
      <c r="BN5" s="8">
        <v>21.672323870841801</v>
      </c>
      <c r="BO5" s="16">
        <v>4.60444645073919E-2</v>
      </c>
      <c r="BP5" s="9">
        <v>0.95278226737474003</v>
      </c>
      <c r="BQ5" s="9">
        <v>0.91876581897071197</v>
      </c>
      <c r="BR5" s="9">
        <v>7.1953840932232102E-2</v>
      </c>
      <c r="BS5" s="9"/>
      <c r="BT5" s="9"/>
      <c r="BU5" s="9">
        <v>1</v>
      </c>
      <c r="BV5" s="9">
        <v>0.75355033304009</v>
      </c>
      <c r="BW5" s="9"/>
      <c r="BX5" s="9">
        <v>0.99884192240880099</v>
      </c>
      <c r="BY5" s="8">
        <v>0.892092161630195</v>
      </c>
      <c r="BZ5" s="16">
        <v>-0.18436156673697399</v>
      </c>
      <c r="CA5" s="9">
        <v>1.92150196338188</v>
      </c>
      <c r="CB5" s="9">
        <v>0.55139631126622002</v>
      </c>
      <c r="CC5" s="9">
        <v>3.90737991604888</v>
      </c>
      <c r="CD5" s="9"/>
      <c r="CE5" s="9"/>
      <c r="CF5" s="9">
        <v>-35.848925857181698</v>
      </c>
      <c r="CG5" s="9"/>
      <c r="CH5" s="9">
        <v>-3.1863095113890498</v>
      </c>
      <c r="CI5" s="8">
        <v>-5.0755063674738103</v>
      </c>
      <c r="CJ5" s="16"/>
      <c r="CK5" s="9">
        <v>490.87139332748001</v>
      </c>
      <c r="CL5" s="9">
        <v>478.61117639289199</v>
      </c>
      <c r="CM5" s="9">
        <v>565.27477192044898</v>
      </c>
      <c r="CN5" s="9"/>
      <c r="CO5" s="9"/>
      <c r="CP5" s="9">
        <v>359.84705862950398</v>
      </c>
      <c r="CQ5" s="9"/>
      <c r="CR5" s="9">
        <v>453.70672395988402</v>
      </c>
      <c r="CS5" s="8">
        <v>439.17228602087602</v>
      </c>
      <c r="CT5" s="16">
        <v>0.232930820449159</v>
      </c>
      <c r="CU5" s="9">
        <v>1</v>
      </c>
      <c r="CV5" s="9">
        <v>1</v>
      </c>
      <c r="CW5" s="9">
        <v>0.39359656069691101</v>
      </c>
      <c r="CX5" s="9"/>
      <c r="CY5" s="9"/>
      <c r="CZ5" s="9">
        <v>1</v>
      </c>
      <c r="DA5" s="9">
        <v>1</v>
      </c>
      <c r="DB5" s="9"/>
      <c r="DC5" s="9">
        <v>1</v>
      </c>
      <c r="DD5" s="8">
        <v>1</v>
      </c>
      <c r="DE5" s="16">
        <v>-1.1257845790674299</v>
      </c>
      <c r="DF5" s="9">
        <v>7.0689466599795301</v>
      </c>
      <c r="DG5" s="9">
        <v>6.06423636211378</v>
      </c>
      <c r="DH5" s="9">
        <v>0.85536317068805801</v>
      </c>
      <c r="DI5" s="9"/>
      <c r="DJ5" s="9"/>
      <c r="DK5" s="9">
        <v>-14.9703150541661</v>
      </c>
      <c r="DL5" s="9"/>
      <c r="DM5" s="9">
        <v>2.6980886543388798</v>
      </c>
      <c r="DN5" s="8">
        <v>4.0195363015771397</v>
      </c>
      <c r="DO5" s="9"/>
      <c r="DP5" s="9">
        <v>3651.28435381913</v>
      </c>
      <c r="DQ5" s="9">
        <v>3433.92923617208</v>
      </c>
      <c r="DR5" s="9">
        <v>3380.2836049929301</v>
      </c>
      <c r="DS5" s="9"/>
      <c r="DT5" s="9"/>
      <c r="DU5" s="9">
        <v>2830.63731430594</v>
      </c>
      <c r="DV5" s="9"/>
      <c r="DW5" s="9">
        <v>3371.9046694488102</v>
      </c>
      <c r="DX5" s="8">
        <v>3461.1614031801701</v>
      </c>
      <c r="DY5" s="16">
        <v>0</v>
      </c>
      <c r="DZ5" s="9">
        <v>0</v>
      </c>
      <c r="EA5" s="9">
        <v>85.988222859731195</v>
      </c>
      <c r="EB5" s="9">
        <v>0.34727464895062599</v>
      </c>
      <c r="EC5" s="9">
        <v>13.6645024913181</v>
      </c>
      <c r="ED5" s="3">
        <v>84.466267057773194</v>
      </c>
      <c r="EE5" s="8">
        <v>7841</v>
      </c>
    </row>
    <row r="6" spans="1:135" x14ac:dyDescent="0.2">
      <c r="A6" s="30"/>
      <c r="B6" s="3">
        <v>8</v>
      </c>
      <c r="C6" s="8" t="s">
        <v>88</v>
      </c>
      <c r="D6" s="9" t="s">
        <v>71</v>
      </c>
      <c r="E6" s="9" t="str">
        <f t="shared" si="0"/>
        <v>EMT_high</v>
      </c>
      <c r="F6" s="9" t="s">
        <v>72</v>
      </c>
      <c r="G6" s="9" t="s">
        <v>64</v>
      </c>
      <c r="H6" s="9">
        <v>0</v>
      </c>
      <c r="I6" s="9" t="s">
        <v>64</v>
      </c>
      <c r="J6" s="9" t="s">
        <v>65</v>
      </c>
      <c r="K6" s="9" t="s">
        <v>80</v>
      </c>
      <c r="L6" s="9">
        <v>0.115</v>
      </c>
      <c r="M6" s="9">
        <v>154</v>
      </c>
      <c r="N6" s="9">
        <v>-0.26740000000000003</v>
      </c>
      <c r="O6" s="9">
        <v>-0.18709999999999999</v>
      </c>
      <c r="P6" s="9" t="s">
        <v>89</v>
      </c>
      <c r="Q6" s="9" t="s">
        <v>68</v>
      </c>
      <c r="R6" s="9">
        <v>6.7950999999999997</v>
      </c>
      <c r="S6" s="9">
        <v>5.7915000000000001</v>
      </c>
      <c r="T6" s="9"/>
      <c r="U6" s="3"/>
      <c r="V6" s="8">
        <v>0</v>
      </c>
      <c r="W6" s="3">
        <v>528</v>
      </c>
      <c r="X6" s="16">
        <v>321864.986695881</v>
      </c>
      <c r="Y6" s="9">
        <v>357270.77126115502</v>
      </c>
      <c r="Z6" s="9">
        <v>755502.19455612299</v>
      </c>
      <c r="AA6" s="9">
        <v>13477.1533067441</v>
      </c>
      <c r="AB6" s="9"/>
      <c r="AC6" s="9">
        <v>7298.46018978947</v>
      </c>
      <c r="AD6" s="9">
        <v>159515.533488897</v>
      </c>
      <c r="AE6" s="9">
        <v>102205.020210601</v>
      </c>
      <c r="AF6" s="9">
        <v>338615.29126556899</v>
      </c>
      <c r="AG6" s="9">
        <v>13334.567940863401</v>
      </c>
      <c r="AH6" s="9">
        <v>586874.55419243698</v>
      </c>
      <c r="AI6" s="8">
        <v>1293554.65378749</v>
      </c>
      <c r="AJ6" s="16">
        <v>0.622705314009661</v>
      </c>
      <c r="AK6" s="9">
        <v>0.56848306332842402</v>
      </c>
      <c r="AL6" s="9">
        <v>0.85300668151447601</v>
      </c>
      <c r="AM6" s="9">
        <v>1.86915887850467E-2</v>
      </c>
      <c r="AN6" s="9"/>
      <c r="AO6" s="9">
        <v>4.8910626945308996E-3</v>
      </c>
      <c r="AP6" s="9">
        <v>0.179972311952007</v>
      </c>
      <c r="AQ6" s="9">
        <v>0.199903660886319</v>
      </c>
      <c r="AR6" s="9">
        <v>5.0802139037433101E-2</v>
      </c>
      <c r="AS6" s="9">
        <v>0.82167280378747998</v>
      </c>
      <c r="AT6" s="8">
        <v>0.87800129785853298</v>
      </c>
      <c r="AU6" s="16">
        <v>-5.31961286330215</v>
      </c>
      <c r="AV6" s="9">
        <v>-4.2339715497455801</v>
      </c>
      <c r="AW6" s="9">
        <v>-1.5494983538334099</v>
      </c>
      <c r="AX6" s="9">
        <v>7.4539938391102396</v>
      </c>
      <c r="AY6" s="9"/>
      <c r="AZ6" s="9">
        <v>-0.79916545022008401</v>
      </c>
      <c r="BA6" s="9">
        <v>6.6285933451285803</v>
      </c>
      <c r="BB6" s="9">
        <v>-2.3788835861145601</v>
      </c>
      <c r="BC6" s="9">
        <v>-2.2122443054827401</v>
      </c>
      <c r="BD6" s="8">
        <v>-6.90826345438433</v>
      </c>
      <c r="BE6" s="16">
        <v>9.4579831932773093</v>
      </c>
      <c r="BF6" s="9">
        <v>11.9478522571819</v>
      </c>
      <c r="BG6" s="9">
        <v>17.4806759545923</v>
      </c>
      <c r="BH6" s="9"/>
      <c r="BI6" s="9"/>
      <c r="BJ6" s="9"/>
      <c r="BK6" s="9">
        <v>31.748729946524001</v>
      </c>
      <c r="BL6" s="9"/>
      <c r="BM6" s="9">
        <v>16.372280878163199</v>
      </c>
      <c r="BN6" s="8">
        <v>11.8071812691321</v>
      </c>
      <c r="BO6" s="16">
        <v>0.99758454106280203</v>
      </c>
      <c r="BP6" s="9">
        <v>0.99705449189985196</v>
      </c>
      <c r="BQ6" s="9">
        <v>1</v>
      </c>
      <c r="BR6" s="9">
        <v>0.139296840231419</v>
      </c>
      <c r="BS6" s="9"/>
      <c r="BT6" s="9">
        <v>8.6705202312138699E-2</v>
      </c>
      <c r="BU6" s="9">
        <v>0.55745269958467902</v>
      </c>
      <c r="BV6" s="9">
        <v>0.729768786127167</v>
      </c>
      <c r="BW6" s="9">
        <v>0.346256684491978</v>
      </c>
      <c r="BX6" s="9">
        <v>1</v>
      </c>
      <c r="BY6" s="8">
        <v>0.99480856586632005</v>
      </c>
      <c r="BZ6" s="16">
        <v>-0.511333122592875</v>
      </c>
      <c r="CA6" s="9">
        <v>-4.3479202890639597</v>
      </c>
      <c r="CB6" s="9">
        <v>4.4888146242931404</v>
      </c>
      <c r="CC6" s="9">
        <v>6.8005507457867003</v>
      </c>
      <c r="CD6" s="9"/>
      <c r="CE6" s="9">
        <v>3.7836516730562502</v>
      </c>
      <c r="CF6" s="9">
        <v>18.620783549028602</v>
      </c>
      <c r="CG6" s="9">
        <v>-1.0087274797411601</v>
      </c>
      <c r="CH6" s="9">
        <v>0.72342908244035398</v>
      </c>
      <c r="CI6" s="8">
        <v>-5.5288570693682804</v>
      </c>
      <c r="CJ6" s="16">
        <v>178.82863606981201</v>
      </c>
      <c r="CK6" s="9">
        <v>147.315786593707</v>
      </c>
      <c r="CL6" s="9">
        <v>214.76259029927701</v>
      </c>
      <c r="CM6" s="9"/>
      <c r="CN6" s="9"/>
      <c r="CO6" s="9"/>
      <c r="CP6" s="9">
        <v>354.80334224598897</v>
      </c>
      <c r="CQ6" s="9"/>
      <c r="CR6" s="9">
        <v>188.39440254734299</v>
      </c>
      <c r="CS6" s="8">
        <v>145.85779763382101</v>
      </c>
      <c r="CT6" s="16">
        <v>1</v>
      </c>
      <c r="CU6" s="9">
        <v>1</v>
      </c>
      <c r="CV6" s="9">
        <v>1</v>
      </c>
      <c r="CW6" s="9">
        <v>0.61904761904761896</v>
      </c>
      <c r="CX6" s="9"/>
      <c r="CY6" s="9">
        <v>0.48288128056914098</v>
      </c>
      <c r="CZ6" s="9">
        <v>0.997231195200738</v>
      </c>
      <c r="DA6" s="9">
        <v>0.99181117533718599</v>
      </c>
      <c r="DB6" s="9">
        <v>0.94340463458110502</v>
      </c>
      <c r="DC6" s="9">
        <v>1</v>
      </c>
      <c r="DD6" s="8">
        <v>1</v>
      </c>
      <c r="DE6" s="16">
        <v>2.2057223677542601</v>
      </c>
      <c r="DF6" s="9">
        <v>0.45182226576074902</v>
      </c>
      <c r="DG6" s="9">
        <v>1.4963308975488601</v>
      </c>
      <c r="DH6" s="9">
        <v>0.22530239014186901</v>
      </c>
      <c r="DI6" s="9"/>
      <c r="DJ6" s="9">
        <v>0.39386065897892097</v>
      </c>
      <c r="DK6" s="9">
        <v>1.7473412042399199</v>
      </c>
      <c r="DL6" s="9">
        <v>1.56191334152854</v>
      </c>
      <c r="DM6" s="9">
        <v>-0.31484224820436302</v>
      </c>
      <c r="DN6" s="8">
        <v>-0.21066985614776201</v>
      </c>
      <c r="DO6" s="9">
        <v>1072.97181641887</v>
      </c>
      <c r="DP6" s="9">
        <v>1005.83671682626</v>
      </c>
      <c r="DQ6" s="9">
        <v>1040.1292569659399</v>
      </c>
      <c r="DR6" s="9"/>
      <c r="DS6" s="9"/>
      <c r="DT6" s="9"/>
      <c r="DU6" s="9">
        <v>1057.78943850267</v>
      </c>
      <c r="DV6" s="9"/>
      <c r="DW6" s="9">
        <v>976.75367856544301</v>
      </c>
      <c r="DX6" s="8">
        <v>980.81547116736999</v>
      </c>
      <c r="DY6" s="16">
        <v>0</v>
      </c>
      <c r="DZ6" s="9">
        <v>1.1152416356877299</v>
      </c>
      <c r="EA6" s="9">
        <v>31.598513011152399</v>
      </c>
      <c r="EB6" s="9">
        <v>1.8587360594795499</v>
      </c>
      <c r="EC6" s="9">
        <v>65.427509293680302</v>
      </c>
      <c r="ED6" s="3">
        <v>12.271897810218899</v>
      </c>
      <c r="EE6" s="8">
        <v>2192</v>
      </c>
    </row>
    <row r="7" spans="1:135" x14ac:dyDescent="0.2">
      <c r="A7" s="30"/>
      <c r="B7" s="3">
        <v>10</v>
      </c>
      <c r="C7" s="8" t="s">
        <v>93</v>
      </c>
      <c r="D7" s="9" t="s">
        <v>62</v>
      </c>
      <c r="E7" s="9" t="str">
        <f t="shared" si="0"/>
        <v>EMT_high</v>
      </c>
      <c r="F7" s="9" t="s">
        <v>63</v>
      </c>
      <c r="G7" s="9" t="s">
        <v>64</v>
      </c>
      <c r="H7" s="9"/>
      <c r="I7" s="9" t="s">
        <v>64</v>
      </c>
      <c r="J7" s="9" t="s">
        <v>65</v>
      </c>
      <c r="K7" s="9" t="s">
        <v>80</v>
      </c>
      <c r="L7" s="9">
        <v>-0.26040000000000002</v>
      </c>
      <c r="M7" s="9">
        <v>2</v>
      </c>
      <c r="N7" s="9">
        <v>0.24490000000000001</v>
      </c>
      <c r="O7" s="9">
        <v>-0.32519999999999999</v>
      </c>
      <c r="P7" s="9" t="s">
        <v>94</v>
      </c>
      <c r="Q7" s="9" t="s">
        <v>68</v>
      </c>
      <c r="R7" s="9">
        <v>0</v>
      </c>
      <c r="S7" s="9">
        <v>36.270299999999999</v>
      </c>
      <c r="T7" s="9"/>
      <c r="U7" s="3"/>
      <c r="V7" s="8">
        <v>0</v>
      </c>
      <c r="W7" s="3">
        <v>533</v>
      </c>
      <c r="X7" s="16">
        <v>36078.8720865129</v>
      </c>
      <c r="Y7" s="9">
        <v>71723.402193281494</v>
      </c>
      <c r="Z7" s="9">
        <v>20388.532996858299</v>
      </c>
      <c r="AA7" s="9">
        <v>1334009.4349368</v>
      </c>
      <c r="AB7" s="9">
        <v>23945.608992380399</v>
      </c>
      <c r="AC7" s="9">
        <v>268485.769435075</v>
      </c>
      <c r="AD7" s="9">
        <v>833054.12074085197</v>
      </c>
      <c r="AE7" s="9">
        <v>432012.83124920598</v>
      </c>
      <c r="AF7" s="9">
        <v>384664.72053203097</v>
      </c>
      <c r="AG7" s="9">
        <v>1034.87192922963</v>
      </c>
      <c r="AH7" s="9">
        <v>191569.725727429</v>
      </c>
      <c r="AI7" s="8">
        <v>140943.141324419</v>
      </c>
      <c r="AJ7" s="16">
        <v>0.133324103558078</v>
      </c>
      <c r="AK7" s="9">
        <v>0.367700383441465</v>
      </c>
      <c r="AL7" s="9">
        <v>8.7756495384230596E-2</v>
      </c>
      <c r="AM7" s="9">
        <v>0.721459627329192</v>
      </c>
      <c r="AN7" s="9">
        <v>2.080019417162E-2</v>
      </c>
      <c r="AO7" s="9">
        <v>0.209345833757905</v>
      </c>
      <c r="AP7" s="9">
        <v>0.59500643015008803</v>
      </c>
      <c r="AQ7" s="9">
        <v>0.32476045468668802</v>
      </c>
      <c r="AR7" s="9">
        <v>8.2315818356427008E-3</v>
      </c>
      <c r="AS7" s="9">
        <v>0.547312698396206</v>
      </c>
      <c r="AT7" s="8">
        <v>0.35248947502576899</v>
      </c>
      <c r="AU7" s="16">
        <v>-10.912354308984099</v>
      </c>
      <c r="AV7" s="9">
        <v>-6.94161041594481</v>
      </c>
      <c r="AW7" s="9">
        <v>-4.83752929967845</v>
      </c>
      <c r="AX7" s="9">
        <v>-54.709427290871297</v>
      </c>
      <c r="AY7" s="9">
        <v>-5.62893054806917</v>
      </c>
      <c r="AZ7" s="9">
        <v>-19.1621770828101</v>
      </c>
      <c r="BA7" s="9">
        <v>-24.341047265996</v>
      </c>
      <c r="BB7" s="9">
        <v>-1.3838533570417999</v>
      </c>
      <c r="BC7" s="9">
        <v>-14.1762878247375</v>
      </c>
      <c r="BD7" s="8">
        <v>-13.822876295280301</v>
      </c>
      <c r="BE7" s="16">
        <v>19.056558935361199</v>
      </c>
      <c r="BF7" s="9">
        <v>26.926013737919401</v>
      </c>
      <c r="BG7" s="9">
        <v>22.496352301366201</v>
      </c>
      <c r="BH7" s="9">
        <v>20.3192521018196</v>
      </c>
      <c r="BI7" s="9">
        <v>16.606398244281198</v>
      </c>
      <c r="BJ7" s="9">
        <v>21.949965137519602</v>
      </c>
      <c r="BK7" s="9">
        <v>21.482915537463501</v>
      </c>
      <c r="BL7" s="9"/>
      <c r="BM7" s="9">
        <v>29.331765545206999</v>
      </c>
      <c r="BN7" s="8">
        <v>22.911571267084501</v>
      </c>
      <c r="BO7" s="16">
        <v>0.68198809358992096</v>
      </c>
      <c r="BP7" s="9">
        <v>0.97367636092468302</v>
      </c>
      <c r="BQ7" s="9">
        <v>0.59462134022467195</v>
      </c>
      <c r="BR7" s="9">
        <v>0.995428571428571</v>
      </c>
      <c r="BS7" s="9">
        <v>0.15227949697506399</v>
      </c>
      <c r="BT7" s="9">
        <v>0.76219508392228497</v>
      </c>
      <c r="BU7" s="9">
        <v>0.973633496846531</v>
      </c>
      <c r="BV7" s="9">
        <v>0.85597585732284598</v>
      </c>
      <c r="BW7" s="9">
        <v>9.1919330498010696E-2</v>
      </c>
      <c r="BX7" s="9">
        <v>0.990743505524037</v>
      </c>
      <c r="BY7" s="8">
        <v>0.51776238207547098</v>
      </c>
      <c r="BZ7" s="16">
        <v>-8.8913950588638198</v>
      </c>
      <c r="CA7" s="9">
        <v>-3.83643085306973</v>
      </c>
      <c r="CB7" s="9">
        <v>-1.9327971646548502E-2</v>
      </c>
      <c r="CC7" s="9">
        <v>6.4122319898728799</v>
      </c>
      <c r="CD7" s="9">
        <v>3.84778018368893</v>
      </c>
      <c r="CE7" s="9">
        <v>1.81775301775261</v>
      </c>
      <c r="CF7" s="9">
        <v>14.889218490197299</v>
      </c>
      <c r="CG7" s="9">
        <v>-2.1688691431676501</v>
      </c>
      <c r="CH7" s="9">
        <v>-9.3010383832384793</v>
      </c>
      <c r="CI7" s="8">
        <v>-8.8317644854419406</v>
      </c>
      <c r="CJ7" s="16">
        <v>293.54234231715498</v>
      </c>
      <c r="CK7" s="9">
        <v>350.67776087494201</v>
      </c>
      <c r="CL7" s="9">
        <v>358.14192863775003</v>
      </c>
      <c r="CM7" s="9">
        <v>391.49093670152098</v>
      </c>
      <c r="CN7" s="9">
        <v>337.56799189668197</v>
      </c>
      <c r="CO7" s="9">
        <v>385.029005689337</v>
      </c>
      <c r="CP7" s="9">
        <v>436.59090906674197</v>
      </c>
      <c r="CQ7" s="9"/>
      <c r="CR7" s="9">
        <v>348.728082183651</v>
      </c>
      <c r="CS7" s="8">
        <v>332.36761381153002</v>
      </c>
      <c r="CT7" s="16">
        <v>1</v>
      </c>
      <c r="CU7" s="9">
        <v>1</v>
      </c>
      <c r="CV7" s="9">
        <v>0.96943261437010497</v>
      </c>
      <c r="CW7" s="9">
        <v>1</v>
      </c>
      <c r="CX7" s="9">
        <v>0.60227222655509804</v>
      </c>
      <c r="CY7" s="9">
        <v>1</v>
      </c>
      <c r="CZ7" s="9">
        <v>1</v>
      </c>
      <c r="DA7" s="9">
        <v>1</v>
      </c>
      <c r="DB7" s="9">
        <v>0.42625874605570002</v>
      </c>
      <c r="DC7" s="9">
        <v>1</v>
      </c>
      <c r="DD7" s="8">
        <v>0.59890919811320698</v>
      </c>
      <c r="DE7" s="16">
        <v>-3.0693403858070498</v>
      </c>
      <c r="DF7" s="9">
        <v>0.13719002715171499</v>
      </c>
      <c r="DG7" s="9">
        <v>0.45468885639072099</v>
      </c>
      <c r="DH7" s="9">
        <v>13.271029144239501</v>
      </c>
      <c r="DI7" s="9">
        <v>1.59305222773239</v>
      </c>
      <c r="DJ7" s="9">
        <v>-2.8516530086621801</v>
      </c>
      <c r="DK7" s="9">
        <v>11.699590117383501</v>
      </c>
      <c r="DL7" s="9">
        <v>-0.70557574444444504</v>
      </c>
      <c r="DM7" s="9">
        <v>-3.10269263620058</v>
      </c>
      <c r="DN7" s="8">
        <v>-1.72769868171462</v>
      </c>
      <c r="DO7" s="9">
        <v>2374.4778153656898</v>
      </c>
      <c r="DP7" s="9">
        <v>2492.6443529650001</v>
      </c>
      <c r="DQ7" s="9">
        <v>2276.53086911025</v>
      </c>
      <c r="DR7" s="9">
        <v>2665.9855860564198</v>
      </c>
      <c r="DS7" s="9">
        <v>1923.4790242255399</v>
      </c>
      <c r="DT7" s="9">
        <v>2390.8293998573199</v>
      </c>
      <c r="DU7" s="9">
        <v>2773.3971215918</v>
      </c>
      <c r="DV7" s="9"/>
      <c r="DW7" s="9">
        <v>2389.11593569449</v>
      </c>
      <c r="DX7" s="8">
        <v>2596.6114479498501</v>
      </c>
      <c r="DY7" s="16">
        <v>0.597103625680663</v>
      </c>
      <c r="DZ7" s="9">
        <v>8.1775179036259704</v>
      </c>
      <c r="EA7" s="9">
        <v>30.842419624540501</v>
      </c>
      <c r="EB7" s="9">
        <v>47.420567274415703</v>
      </c>
      <c r="EC7" s="9">
        <v>12.962391571736999</v>
      </c>
      <c r="ED7" s="3">
        <v>86.298153427476507</v>
      </c>
      <c r="EE7" s="8">
        <v>6081</v>
      </c>
    </row>
    <row r="8" spans="1:135" x14ac:dyDescent="0.2">
      <c r="A8" s="30"/>
      <c r="B8" s="3">
        <v>11</v>
      </c>
      <c r="C8" s="8" t="s">
        <v>95</v>
      </c>
      <c r="D8" s="9" t="s">
        <v>62</v>
      </c>
      <c r="E8" s="9" t="str">
        <f t="shared" si="0"/>
        <v>EMT_high</v>
      </c>
      <c r="F8" s="9" t="s">
        <v>63</v>
      </c>
      <c r="G8" s="9"/>
      <c r="H8" s="9"/>
      <c r="I8" s="9" t="s">
        <v>64</v>
      </c>
      <c r="J8" s="9" t="s">
        <v>65</v>
      </c>
      <c r="K8" s="9" t="s">
        <v>66</v>
      </c>
      <c r="L8" s="9">
        <v>-0.21099999999999999</v>
      </c>
      <c r="M8" s="9">
        <v>25</v>
      </c>
      <c r="N8" s="9">
        <v>0.36259999999999998</v>
      </c>
      <c r="O8" s="9">
        <v>-0.57630000000000003</v>
      </c>
      <c r="P8" s="9" t="s">
        <v>96</v>
      </c>
      <c r="Q8" s="9" t="s">
        <v>68</v>
      </c>
      <c r="R8" s="9">
        <v>89.233800000000002</v>
      </c>
      <c r="S8" s="9">
        <v>21.6995</v>
      </c>
      <c r="T8" s="9"/>
      <c r="U8" s="3"/>
      <c r="V8" s="8">
        <v>0</v>
      </c>
      <c r="W8" s="3">
        <v>57</v>
      </c>
      <c r="X8" s="16"/>
      <c r="Y8" s="9">
        <v>83509.350213027006</v>
      </c>
      <c r="Z8" s="9">
        <v>271200.41390900098</v>
      </c>
      <c r="AA8" s="9">
        <v>534746.47831561195</v>
      </c>
      <c r="AB8" s="9">
        <v>302972.038398156</v>
      </c>
      <c r="AC8" s="9">
        <v>9711.4802863273999</v>
      </c>
      <c r="AD8" s="9">
        <v>1835125.14510928</v>
      </c>
      <c r="AE8" s="9">
        <v>367040.09010013001</v>
      </c>
      <c r="AF8" s="9">
        <v>302604.52613152697</v>
      </c>
      <c r="AG8" s="9"/>
      <c r="AH8" s="9">
        <v>94861.969289451605</v>
      </c>
      <c r="AI8" s="8">
        <v>13098.267594680499</v>
      </c>
      <c r="AJ8" s="16"/>
      <c r="AK8" s="9">
        <v>0.149132204842511</v>
      </c>
      <c r="AL8" s="9">
        <v>0.240107913669064</v>
      </c>
      <c r="AM8" s="9">
        <v>0.33140376266280702</v>
      </c>
      <c r="AN8" s="9">
        <v>0.196303808879873</v>
      </c>
      <c r="AO8" s="9">
        <v>5.6734608110947E-3</v>
      </c>
      <c r="AP8" s="9">
        <v>0.84386617100371697</v>
      </c>
      <c r="AQ8" s="9">
        <v>0.169460806524694</v>
      </c>
      <c r="AR8" s="9"/>
      <c r="AS8" s="9">
        <v>0.200729927007299</v>
      </c>
      <c r="AT8" s="8">
        <v>7.8559393428812102E-2</v>
      </c>
      <c r="AU8" s="16"/>
      <c r="AV8" s="9">
        <v>-19.641490918085101</v>
      </c>
      <c r="AW8" s="9">
        <v>-26.054621474747901</v>
      </c>
      <c r="AX8" s="9">
        <v>-33.713664983964698</v>
      </c>
      <c r="AY8" s="9">
        <v>-24.352044054468799</v>
      </c>
      <c r="AZ8" s="9">
        <v>-7.4419612883644897</v>
      </c>
      <c r="BA8" s="9">
        <v>-34.453539958345402</v>
      </c>
      <c r="BB8" s="9"/>
      <c r="BC8" s="9">
        <v>-16.849079203446099</v>
      </c>
      <c r="BD8" s="8">
        <v>-5.31466026222712</v>
      </c>
      <c r="BE8" s="16"/>
      <c r="BF8" s="9">
        <v>9.6467877064891994</v>
      </c>
      <c r="BG8" s="9">
        <v>13.757419103941199</v>
      </c>
      <c r="BH8" s="9">
        <v>14.610612834445201</v>
      </c>
      <c r="BI8" s="9">
        <v>14.168294437495501</v>
      </c>
      <c r="BJ8" s="9"/>
      <c r="BK8" s="9">
        <v>11.1701335045551</v>
      </c>
      <c r="BL8" s="9"/>
      <c r="BM8" s="9">
        <v>12.1542683408355</v>
      </c>
      <c r="BN8" s="8"/>
      <c r="BO8" s="16"/>
      <c r="BP8" s="9">
        <v>0.67066638097278697</v>
      </c>
      <c r="BQ8" s="9">
        <v>0.73066546762589901</v>
      </c>
      <c r="BR8" s="9">
        <v>0.84756391702846101</v>
      </c>
      <c r="BS8" s="9">
        <v>0.74329501915708796</v>
      </c>
      <c r="BT8" s="9">
        <v>4.6858583736078999E-2</v>
      </c>
      <c r="BU8" s="9">
        <v>1</v>
      </c>
      <c r="BV8" s="9">
        <v>0.61440869959220601</v>
      </c>
      <c r="BW8" s="9"/>
      <c r="BX8" s="9">
        <v>0.77694289394589899</v>
      </c>
      <c r="BY8" s="8">
        <v>0.64953664700926705</v>
      </c>
      <c r="BZ8" s="16"/>
      <c r="CA8" s="9">
        <v>3.6367205816114301</v>
      </c>
      <c r="CB8" s="9">
        <v>7.5781346572153403</v>
      </c>
      <c r="CC8" s="9">
        <v>20.852918375351202</v>
      </c>
      <c r="CD8" s="9">
        <v>-2.89055494372748</v>
      </c>
      <c r="CE8" s="9">
        <v>-6.7033092186573997</v>
      </c>
      <c r="CF8" s="9">
        <v>-11.411792749188599</v>
      </c>
      <c r="CG8" s="9"/>
      <c r="CH8" s="9">
        <v>1.1857307061731499</v>
      </c>
      <c r="CI8" s="8">
        <v>2.08055932552204</v>
      </c>
      <c r="CJ8" s="16"/>
      <c r="CK8" s="9">
        <v>273.92772070384001</v>
      </c>
      <c r="CL8" s="9">
        <v>277.74906464979603</v>
      </c>
      <c r="CM8" s="9">
        <v>294.94887887750099</v>
      </c>
      <c r="CN8" s="9">
        <v>246.407268909469</v>
      </c>
      <c r="CO8" s="9"/>
      <c r="CP8" s="9">
        <v>223.985710651289</v>
      </c>
      <c r="CQ8" s="9"/>
      <c r="CR8" s="9">
        <v>260.73351496485799</v>
      </c>
      <c r="CS8" s="8"/>
      <c r="CT8" s="16"/>
      <c r="CU8" s="9">
        <v>1</v>
      </c>
      <c r="CV8" s="9">
        <v>1</v>
      </c>
      <c r="CW8" s="9">
        <v>1</v>
      </c>
      <c r="CX8" s="9">
        <v>0.985125084516565</v>
      </c>
      <c r="CY8" s="9">
        <v>0.33389367514183599</v>
      </c>
      <c r="CZ8" s="9">
        <v>1</v>
      </c>
      <c r="DA8" s="9">
        <v>1</v>
      </c>
      <c r="DB8" s="9"/>
      <c r="DC8" s="9">
        <v>1</v>
      </c>
      <c r="DD8" s="8">
        <v>1</v>
      </c>
      <c r="DE8" s="16"/>
      <c r="DF8" s="9">
        <v>0.89419568154212603</v>
      </c>
      <c r="DG8" s="9">
        <v>2.6681626170912001</v>
      </c>
      <c r="DH8" s="9">
        <v>16.510314311630701</v>
      </c>
      <c r="DI8" s="9">
        <v>8.3305155387860292</v>
      </c>
      <c r="DJ8" s="9">
        <v>-0.99661003727196795</v>
      </c>
      <c r="DK8" s="9">
        <v>-3.3272247857843702</v>
      </c>
      <c r="DL8" s="9"/>
      <c r="DM8" s="9">
        <v>1.6942459336348701</v>
      </c>
      <c r="DN8" s="8">
        <v>0.808520689655153</v>
      </c>
      <c r="DO8" s="9"/>
      <c r="DP8" s="9">
        <v>1781.04331158062</v>
      </c>
      <c r="DQ8" s="9">
        <v>1804.65644821713</v>
      </c>
      <c r="DR8" s="9">
        <v>2018.01469839741</v>
      </c>
      <c r="DS8" s="9">
        <v>1939.12935107355</v>
      </c>
      <c r="DT8" s="9"/>
      <c r="DU8" s="9">
        <v>1658.72730301415</v>
      </c>
      <c r="DV8" s="9"/>
      <c r="DW8" s="9">
        <v>1816.5551212193</v>
      </c>
      <c r="DX8" s="8"/>
      <c r="DY8" s="16">
        <v>9.0062961949082894</v>
      </c>
      <c r="DZ8" s="9">
        <v>0.19162332329592099</v>
      </c>
      <c r="EA8" s="9">
        <v>64.193813304133499</v>
      </c>
      <c r="EB8" s="9">
        <v>16.9723514919244</v>
      </c>
      <c r="EC8" s="9">
        <v>9.6359156857377499</v>
      </c>
      <c r="ED8" s="3">
        <v>87.059103908484204</v>
      </c>
      <c r="EE8" s="8">
        <v>4196</v>
      </c>
    </row>
    <row r="9" spans="1:135" x14ac:dyDescent="0.2">
      <c r="A9" s="30"/>
      <c r="B9" s="3">
        <v>12</v>
      </c>
      <c r="C9" s="8" t="s">
        <v>97</v>
      </c>
      <c r="D9" s="9" t="s">
        <v>71</v>
      </c>
      <c r="E9" s="9" t="str">
        <f t="shared" si="0"/>
        <v>EMT_high</v>
      </c>
      <c r="F9" s="9" t="s">
        <v>63</v>
      </c>
      <c r="G9" s="9" t="s">
        <v>64</v>
      </c>
      <c r="H9" s="9">
        <v>0</v>
      </c>
      <c r="I9" s="9"/>
      <c r="J9" s="9" t="s">
        <v>77</v>
      </c>
      <c r="K9" s="9" t="s">
        <v>66</v>
      </c>
      <c r="L9" s="9">
        <v>-0.3705</v>
      </c>
      <c r="M9" s="9">
        <v>25</v>
      </c>
      <c r="N9" s="9">
        <v>-0.1406</v>
      </c>
      <c r="O9" s="9">
        <v>-0.38200000000000001</v>
      </c>
      <c r="P9" s="9"/>
      <c r="Q9" s="9"/>
      <c r="R9" s="9"/>
      <c r="S9" s="9"/>
      <c r="T9" s="9"/>
      <c r="U9" s="3"/>
      <c r="V9" s="8">
        <v>1</v>
      </c>
      <c r="W9" s="3">
        <v>566</v>
      </c>
      <c r="X9" s="16"/>
      <c r="Y9" s="9">
        <v>62481.516423332898</v>
      </c>
      <c r="Z9" s="9">
        <v>172130.61116025099</v>
      </c>
      <c r="AA9" s="9">
        <v>495506.96211205499</v>
      </c>
      <c r="AB9" s="9">
        <v>925134.01785581897</v>
      </c>
      <c r="AC9" s="9">
        <v>978534.53287505498</v>
      </c>
      <c r="AD9" s="9">
        <v>1083405.63537417</v>
      </c>
      <c r="AE9" s="9">
        <v>391214.261327038</v>
      </c>
      <c r="AF9" s="9">
        <v>131782.011859969</v>
      </c>
      <c r="AG9" s="9">
        <v>0</v>
      </c>
      <c r="AH9" s="9">
        <v>79877.185326892897</v>
      </c>
      <c r="AI9" s="8">
        <v>10289.642943807799</v>
      </c>
      <c r="AJ9" s="16"/>
      <c r="AK9" s="9">
        <v>7.1377714489142E-2</v>
      </c>
      <c r="AL9" s="9">
        <v>0.15583226515290199</v>
      </c>
      <c r="AM9" s="9">
        <v>0.32523885350318399</v>
      </c>
      <c r="AN9" s="9">
        <v>0.38006795016987499</v>
      </c>
      <c r="AO9" s="9">
        <v>0.32689283307121902</v>
      </c>
      <c r="AP9" s="9">
        <v>0.34286357496623099</v>
      </c>
      <c r="AQ9" s="9">
        <v>7.0030526126773199E-2</v>
      </c>
      <c r="AR9" s="9">
        <v>3.6887405585807002E-3</v>
      </c>
      <c r="AS9" s="9">
        <v>0.17147464612076599</v>
      </c>
      <c r="AT9" s="8">
        <v>2.8345070422535201E-2</v>
      </c>
      <c r="AU9" s="16"/>
      <c r="AV9" s="9">
        <v>-17.283710495559799</v>
      </c>
      <c r="AW9" s="9">
        <v>-28.982042474356501</v>
      </c>
      <c r="AX9" s="9">
        <v>-27.233350639456699</v>
      </c>
      <c r="AY9" s="9">
        <v>-53.450923313294801</v>
      </c>
      <c r="AZ9" s="9">
        <v>-48.592161228923899</v>
      </c>
      <c r="BA9" s="9">
        <v>-20.559377121930901</v>
      </c>
      <c r="BB9" s="9">
        <v>-2.2725497561704202</v>
      </c>
      <c r="BC9" s="9">
        <v>-21.248845507812199</v>
      </c>
      <c r="BD9" s="8">
        <v>-7.54891671729062</v>
      </c>
      <c r="BE9" s="16"/>
      <c r="BF9" s="9">
        <v>3.23085168992769</v>
      </c>
      <c r="BG9" s="9">
        <v>4.3714845946057102</v>
      </c>
      <c r="BH9" s="9">
        <v>21.860131848743499</v>
      </c>
      <c r="BI9" s="9">
        <v>13.598711178611399</v>
      </c>
      <c r="BJ9" s="9">
        <v>15.6789831362338</v>
      </c>
      <c r="BK9" s="9">
        <v>7.6027923322683701</v>
      </c>
      <c r="BL9" s="9"/>
      <c r="BM9" s="9">
        <v>2.3339223613899098</v>
      </c>
      <c r="BN9" s="8"/>
      <c r="BO9" s="16"/>
      <c r="BP9" s="9">
        <v>0.48611605553577703</v>
      </c>
      <c r="BQ9" s="9">
        <v>0.71049258377586499</v>
      </c>
      <c r="BR9" s="9">
        <v>0.83837579617834301</v>
      </c>
      <c r="BS9" s="9">
        <v>0.82763306908267198</v>
      </c>
      <c r="BT9" s="9">
        <v>0.80633565490900905</v>
      </c>
      <c r="BU9" s="9">
        <v>0.83453399369653303</v>
      </c>
      <c r="BV9" s="9">
        <v>0.24923684683066899</v>
      </c>
      <c r="BW9" s="9">
        <v>3.7414368522747203E-2</v>
      </c>
      <c r="BX9" s="9">
        <v>0.77638416054470505</v>
      </c>
      <c r="BY9" s="8">
        <v>0.24630281690140801</v>
      </c>
      <c r="BZ9" s="16"/>
      <c r="CA9" s="9">
        <v>-16.695420691503799</v>
      </c>
      <c r="CB9" s="9">
        <v>-26.599631889809501</v>
      </c>
      <c r="CC9" s="9">
        <v>8.6349840786073102</v>
      </c>
      <c r="CD9" s="9">
        <v>-27.0444212941232</v>
      </c>
      <c r="CE9" s="9">
        <v>-11.670697339714399</v>
      </c>
      <c r="CF9" s="9">
        <v>-20.376785919902801</v>
      </c>
      <c r="CG9" s="9">
        <v>-2.0653487200329899</v>
      </c>
      <c r="CH9" s="9">
        <v>-18.317161429591099</v>
      </c>
      <c r="CI9" s="8">
        <v>-6.50726210757818</v>
      </c>
      <c r="CJ9" s="16"/>
      <c r="CK9" s="9">
        <v>67.668393727929995</v>
      </c>
      <c r="CL9" s="9">
        <v>96.075083300195999</v>
      </c>
      <c r="CM9" s="9">
        <v>473.55248676743997</v>
      </c>
      <c r="CN9" s="9">
        <v>275.41211996692698</v>
      </c>
      <c r="CO9" s="9">
        <v>349.909103118036</v>
      </c>
      <c r="CP9" s="9">
        <v>98.363399361022303</v>
      </c>
      <c r="CQ9" s="9"/>
      <c r="CR9" s="9">
        <v>98.185699341231</v>
      </c>
      <c r="CS9" s="8"/>
      <c r="CT9" s="16"/>
      <c r="CU9" s="9">
        <v>0.96707013171947298</v>
      </c>
      <c r="CV9" s="9">
        <v>1</v>
      </c>
      <c r="CW9" s="9">
        <v>0.99980095541401204</v>
      </c>
      <c r="CX9" s="9">
        <v>1</v>
      </c>
      <c r="CY9" s="9">
        <v>1</v>
      </c>
      <c r="CZ9" s="9">
        <v>1</v>
      </c>
      <c r="DA9" s="9">
        <v>0.72490572813790599</v>
      </c>
      <c r="DB9" s="9">
        <v>0.38854733883716802</v>
      </c>
      <c r="DC9" s="9">
        <v>1</v>
      </c>
      <c r="DD9" s="8">
        <v>0.86056338028168999</v>
      </c>
      <c r="DE9" s="16"/>
      <c r="DF9" s="9">
        <v>-10.800484557898701</v>
      </c>
      <c r="DG9" s="9">
        <v>-8.7363072077238204</v>
      </c>
      <c r="DH9" s="9">
        <v>32.3634124577694</v>
      </c>
      <c r="DI9" s="9">
        <v>-17.116836510320599</v>
      </c>
      <c r="DJ9" s="9">
        <v>50.241371787104299</v>
      </c>
      <c r="DK9" s="9">
        <v>-20.518697128421401</v>
      </c>
      <c r="DL9" s="9">
        <v>-1.5111456328075199</v>
      </c>
      <c r="DM9" s="9">
        <v>-9.8629563341540294</v>
      </c>
      <c r="DN9" s="8">
        <v>-6.0373572495891299</v>
      </c>
      <c r="DO9" s="9"/>
      <c r="DP9" s="9">
        <v>1277.38302925844</v>
      </c>
      <c r="DQ9" s="9">
        <v>1767.3092562629399</v>
      </c>
      <c r="DR9" s="9">
        <v>3069.8724059415299</v>
      </c>
      <c r="DS9" s="9">
        <v>1791.8586205776701</v>
      </c>
      <c r="DT9" s="9">
        <v>3227.1305451101198</v>
      </c>
      <c r="DU9" s="9">
        <v>836.59817252396101</v>
      </c>
      <c r="DV9" s="9"/>
      <c r="DW9" s="9">
        <v>1505.0580027707799</v>
      </c>
      <c r="DX9" s="8"/>
      <c r="DY9" s="16">
        <v>27.992996279273299</v>
      </c>
      <c r="DZ9" s="9">
        <v>27.2050776975268</v>
      </c>
      <c r="EA9" s="9">
        <v>27.402057342963399</v>
      </c>
      <c r="EB9" s="9">
        <v>14.6640402713941</v>
      </c>
      <c r="EC9" s="9">
        <v>2.73582840884219</v>
      </c>
      <c r="ED9" s="3">
        <v>91.270475429484605</v>
      </c>
      <c r="EE9" s="8">
        <v>5006</v>
      </c>
    </row>
    <row r="10" spans="1:135" x14ac:dyDescent="0.2">
      <c r="A10" s="30"/>
      <c r="B10" s="3">
        <v>13</v>
      </c>
      <c r="C10" s="8" t="s">
        <v>98</v>
      </c>
      <c r="D10" s="9" t="s">
        <v>71</v>
      </c>
      <c r="E10" s="9" t="str">
        <f t="shared" si="0"/>
        <v>EMT_high</v>
      </c>
      <c r="F10" s="9" t="s">
        <v>63</v>
      </c>
      <c r="G10" s="9" t="s">
        <v>91</v>
      </c>
      <c r="H10" s="9">
        <v>1</v>
      </c>
      <c r="I10" s="9" t="s">
        <v>64</v>
      </c>
      <c r="J10" s="9" t="s">
        <v>77</v>
      </c>
      <c r="K10" s="9" t="s">
        <v>80</v>
      </c>
      <c r="L10" s="9"/>
      <c r="M10" s="9"/>
      <c r="N10" s="9"/>
      <c r="O10" s="9"/>
      <c r="P10" s="9"/>
      <c r="Q10" s="9"/>
      <c r="R10" s="9"/>
      <c r="S10" s="9"/>
      <c r="T10" s="9" t="s">
        <v>73</v>
      </c>
      <c r="U10" s="3">
        <v>2.63</v>
      </c>
      <c r="V10" s="8">
        <v>1</v>
      </c>
      <c r="W10" s="3">
        <v>1845</v>
      </c>
      <c r="X10" s="16">
        <v>53254.659528449702</v>
      </c>
      <c r="Y10" s="9">
        <v>69333.937106657293</v>
      </c>
      <c r="Z10" s="9">
        <v>1525785.53894191</v>
      </c>
      <c r="AA10" s="9">
        <v>72918.749314319095</v>
      </c>
      <c r="AB10" s="9">
        <v>157057.58480590401</v>
      </c>
      <c r="AC10" s="9">
        <v>284708.33024764003</v>
      </c>
      <c r="AD10" s="9">
        <v>736505.67510127998</v>
      </c>
      <c r="AE10" s="9">
        <v>206754.01894891399</v>
      </c>
      <c r="AF10" s="9">
        <v>120183.597134998</v>
      </c>
      <c r="AG10" s="9">
        <v>11381.0876780242</v>
      </c>
      <c r="AH10" s="9">
        <v>404364.30925300601</v>
      </c>
      <c r="AI10" s="8">
        <v>178524.25359776101</v>
      </c>
      <c r="AJ10" s="16">
        <v>0.116364979682305</v>
      </c>
      <c r="AK10" s="9">
        <v>0.112597547380156</v>
      </c>
      <c r="AL10" s="9">
        <v>0.98109640831758005</v>
      </c>
      <c r="AM10" s="9">
        <v>6.7136498516320406E-2</v>
      </c>
      <c r="AN10" s="9">
        <v>0.14929897688518301</v>
      </c>
      <c r="AO10" s="9">
        <v>0.28430599369085102</v>
      </c>
      <c r="AP10" s="9">
        <v>0.474387527839643</v>
      </c>
      <c r="AQ10" s="9">
        <v>9.9962560838637193E-2</v>
      </c>
      <c r="AR10" s="9">
        <v>4.31918008784773E-2</v>
      </c>
      <c r="AS10" s="9">
        <v>0.68131868131868101</v>
      </c>
      <c r="AT10" s="8">
        <v>0.35869151768733298</v>
      </c>
      <c r="AU10" s="16">
        <v>-4.8461665769281801</v>
      </c>
      <c r="AV10" s="9">
        <v>-7.9571008872568996</v>
      </c>
      <c r="AW10" s="9">
        <v>-11.5277458596717</v>
      </c>
      <c r="AX10" s="9">
        <v>-2.0174741025991101</v>
      </c>
      <c r="AY10" s="9">
        <v>-1.37629149309875</v>
      </c>
      <c r="AZ10" s="9">
        <v>-5.69817669580853</v>
      </c>
      <c r="BA10" s="9">
        <v>-3.9246174883539999</v>
      </c>
      <c r="BB10" s="9">
        <v>-3.565706820585</v>
      </c>
      <c r="BC10" s="9">
        <v>-4.37695119597785</v>
      </c>
      <c r="BD10" s="8">
        <v>-4.9709822177030603</v>
      </c>
      <c r="BE10" s="16">
        <v>6.7756826674331698</v>
      </c>
      <c r="BF10" s="9">
        <v>3.7848660590996901</v>
      </c>
      <c r="BG10" s="9">
        <v>11.7082268502791</v>
      </c>
      <c r="BH10" s="9">
        <v>11.7495407225964</v>
      </c>
      <c r="BI10" s="9">
        <v>13.439686663671299</v>
      </c>
      <c r="BJ10" s="9">
        <v>11.0569533707096</v>
      </c>
      <c r="BK10" s="9">
        <v>10.175730438971801</v>
      </c>
      <c r="BL10" s="9"/>
      <c r="BM10" s="9">
        <v>12.3073599491686</v>
      </c>
      <c r="BN10" s="8">
        <v>10.2492833104823</v>
      </c>
      <c r="BO10" s="16">
        <v>0.63723679349833695</v>
      </c>
      <c r="BP10" s="9">
        <v>0.662207357859531</v>
      </c>
      <c r="BQ10" s="9">
        <v>1</v>
      </c>
      <c r="BR10" s="9">
        <v>0.44695845697329301</v>
      </c>
      <c r="BS10" s="9">
        <v>0.68321333838575204</v>
      </c>
      <c r="BT10" s="9">
        <v>0.91916403785488898</v>
      </c>
      <c r="BU10" s="9">
        <v>0.93318485523385297</v>
      </c>
      <c r="BV10" s="9">
        <v>0.55934107076001405</v>
      </c>
      <c r="BW10" s="9">
        <v>0.40702781844802299</v>
      </c>
      <c r="BX10" s="9">
        <v>0.99959299959299897</v>
      </c>
      <c r="BY10" s="8">
        <v>0.95283377710155903</v>
      </c>
      <c r="BZ10" s="16">
        <v>-0.43389269202361802</v>
      </c>
      <c r="CA10" s="9">
        <v>-10.611039420173899</v>
      </c>
      <c r="CB10" s="9">
        <v>0.71720214550717498</v>
      </c>
      <c r="CC10" s="9">
        <v>5.7453590207816898</v>
      </c>
      <c r="CD10" s="9">
        <v>3.9571231923310202</v>
      </c>
      <c r="CE10" s="9">
        <v>3.8631870350555499</v>
      </c>
      <c r="CF10" s="9">
        <v>2.0602816977621101</v>
      </c>
      <c r="CG10" s="9">
        <v>-1.9365768785297</v>
      </c>
      <c r="CH10" s="9">
        <v>-1.9924962817080001</v>
      </c>
      <c r="CI10" s="8">
        <v>-2.0298360494169798</v>
      </c>
      <c r="CJ10" s="16">
        <v>153.94981316470199</v>
      </c>
      <c r="CK10" s="9">
        <v>83.699609421233205</v>
      </c>
      <c r="CL10" s="9">
        <v>158.624508958512</v>
      </c>
      <c r="CM10" s="9">
        <v>201.780377919692</v>
      </c>
      <c r="CN10" s="9">
        <v>177.17897677325999</v>
      </c>
      <c r="CO10" s="9">
        <v>171.15521283038001</v>
      </c>
      <c r="CP10" s="9">
        <v>169.880324198713</v>
      </c>
      <c r="CQ10" s="9"/>
      <c r="CR10" s="9">
        <v>151.44245119841801</v>
      </c>
      <c r="CS10" s="8">
        <v>147.589679670946</v>
      </c>
      <c r="CT10" s="16">
        <v>0.98559290727742799</v>
      </c>
      <c r="CU10" s="9">
        <v>1</v>
      </c>
      <c r="CV10" s="9">
        <v>1</v>
      </c>
      <c r="CW10" s="9">
        <v>0.90059347181008897</v>
      </c>
      <c r="CX10" s="9">
        <v>1</v>
      </c>
      <c r="CY10" s="9">
        <v>1</v>
      </c>
      <c r="CZ10" s="9">
        <v>1</v>
      </c>
      <c r="DA10" s="9">
        <v>0.99663047547734895</v>
      </c>
      <c r="DB10" s="9">
        <v>0.97730600292825698</v>
      </c>
      <c r="DC10" s="9">
        <v>1</v>
      </c>
      <c r="DD10" s="8">
        <v>1</v>
      </c>
      <c r="DE10" s="16">
        <v>1.0880613051074699</v>
      </c>
      <c r="DF10" s="9">
        <v>-3.5878388290180401</v>
      </c>
      <c r="DG10" s="9">
        <v>11.4780340391411</v>
      </c>
      <c r="DH10" s="9">
        <v>4.39633439135015</v>
      </c>
      <c r="DI10" s="9">
        <v>2.4883573963888699</v>
      </c>
      <c r="DJ10" s="9">
        <v>3.49741675244019</v>
      </c>
      <c r="DK10" s="9">
        <v>3.9330272752195201</v>
      </c>
      <c r="DL10" s="9">
        <v>3.7408973698603701E-2</v>
      </c>
      <c r="DM10" s="9">
        <v>4.82053696548435</v>
      </c>
      <c r="DN10" s="8">
        <v>1.7567071211106</v>
      </c>
      <c r="DO10" s="9">
        <v>1079.06685829261</v>
      </c>
      <c r="DP10" s="9">
        <v>895.93186570402702</v>
      </c>
      <c r="DQ10" s="9">
        <v>1139.1598578483799</v>
      </c>
      <c r="DR10" s="9">
        <v>1198.3332604321499</v>
      </c>
      <c r="DS10" s="9">
        <v>1094.39743314254</v>
      </c>
      <c r="DT10" s="9">
        <v>1094.7722451212101</v>
      </c>
      <c r="DU10" s="9">
        <v>1155.3726301470699</v>
      </c>
      <c r="DV10" s="9"/>
      <c r="DW10" s="9">
        <v>1105.2047936743199</v>
      </c>
      <c r="DX10" s="8">
        <v>1075.6378803796199</v>
      </c>
      <c r="DY10" s="16">
        <v>11.159263271939301</v>
      </c>
      <c r="DZ10" s="9">
        <v>22.318526543878601</v>
      </c>
      <c r="EA10" s="9">
        <v>53.846153846153797</v>
      </c>
      <c r="EB10" s="9">
        <v>4.9837486457204703</v>
      </c>
      <c r="EC10" s="9">
        <v>7.6923076923076898</v>
      </c>
      <c r="ED10" s="3">
        <v>35.886469673405898</v>
      </c>
      <c r="EE10" s="8">
        <v>2572</v>
      </c>
    </row>
    <row r="11" spans="1:135" x14ac:dyDescent="0.2">
      <c r="A11" s="30"/>
      <c r="B11" s="3">
        <v>14</v>
      </c>
      <c r="C11" s="8" t="s">
        <v>99</v>
      </c>
      <c r="D11" s="9" t="s">
        <v>62</v>
      </c>
      <c r="E11" s="9" t="str">
        <f t="shared" si="0"/>
        <v>EMT_high</v>
      </c>
      <c r="F11" s="9" t="s">
        <v>72</v>
      </c>
      <c r="G11" s="9" t="s">
        <v>91</v>
      </c>
      <c r="H11" s="9">
        <v>1</v>
      </c>
      <c r="I11" s="9" t="s">
        <v>64</v>
      </c>
      <c r="J11" s="9" t="s">
        <v>65</v>
      </c>
      <c r="K11" s="9" t="s">
        <v>80</v>
      </c>
      <c r="L11" s="9">
        <v>-2.1000000000000001E-2</v>
      </c>
      <c r="M11" s="9">
        <v>20</v>
      </c>
      <c r="N11" s="9">
        <v>-8.2699999999999996E-2</v>
      </c>
      <c r="O11" s="9">
        <v>-0.30680000000000002</v>
      </c>
      <c r="P11" s="9" t="s">
        <v>100</v>
      </c>
      <c r="Q11" s="9" t="s">
        <v>68</v>
      </c>
      <c r="R11" s="9">
        <v>19.9633</v>
      </c>
      <c r="S11" s="9">
        <v>12.6995</v>
      </c>
      <c r="T11" s="9" t="s">
        <v>69</v>
      </c>
      <c r="U11" s="3">
        <v>2.63</v>
      </c>
      <c r="V11" s="8">
        <v>0</v>
      </c>
      <c r="W11" s="3">
        <v>1888</v>
      </c>
      <c r="X11" s="16">
        <v>3737.5050783771098</v>
      </c>
      <c r="Y11" s="9">
        <v>71078.244788918499</v>
      </c>
      <c r="Z11" s="9">
        <v>1305066.60728622</v>
      </c>
      <c r="AA11" s="9">
        <v>6948.9143476279896</v>
      </c>
      <c r="AB11" s="9">
        <v>30943.1962451705</v>
      </c>
      <c r="AC11" s="9">
        <v>325608.08406540798</v>
      </c>
      <c r="AD11" s="9">
        <v>982030.27638781699</v>
      </c>
      <c r="AE11" s="9">
        <v>222222.41606916999</v>
      </c>
      <c r="AF11" s="9">
        <v>648290.95531647303</v>
      </c>
      <c r="AG11" s="9">
        <v>2591.1252203152399</v>
      </c>
      <c r="AH11" s="9">
        <v>224470.71900282201</v>
      </c>
      <c r="AI11" s="8">
        <v>113455.547327248</v>
      </c>
      <c r="AJ11" s="16">
        <v>1.8282199070826999E-2</v>
      </c>
      <c r="AK11" s="9">
        <v>0.198060012267913</v>
      </c>
      <c r="AL11" s="9">
        <v>0.77388249094942396</v>
      </c>
      <c r="AM11" s="9">
        <v>1.4599924156238101E-2</v>
      </c>
      <c r="AN11" s="9">
        <v>3.3288630316619397E-2</v>
      </c>
      <c r="AO11" s="9">
        <v>0.231291707332555</v>
      </c>
      <c r="AP11" s="9">
        <v>0.519968966235271</v>
      </c>
      <c r="AQ11" s="9">
        <v>0.318201896291401</v>
      </c>
      <c r="AR11" s="9">
        <v>1.8650873318610699E-2</v>
      </c>
      <c r="AS11" s="9">
        <v>0.56021222481926003</v>
      </c>
      <c r="AT11" s="8">
        <v>0.33837695787094502</v>
      </c>
      <c r="AU11" s="16">
        <v>-3.6093820506001499</v>
      </c>
      <c r="AV11" s="9">
        <v>-8.1643895902723997</v>
      </c>
      <c r="AW11" s="9">
        <v>-26.927572649320901</v>
      </c>
      <c r="AX11" s="9">
        <v>-0.92375572890635704</v>
      </c>
      <c r="AY11" s="9">
        <v>0.50271114088589997</v>
      </c>
      <c r="AZ11" s="9">
        <v>-10.5557433309621</v>
      </c>
      <c r="BA11" s="9">
        <v>-14.6036151774647</v>
      </c>
      <c r="BB11" s="9">
        <v>-3.4338782431102799</v>
      </c>
      <c r="BC11" s="9">
        <v>-5.3453622060118899</v>
      </c>
      <c r="BD11" s="8">
        <v>-6.5904249370582999</v>
      </c>
      <c r="BE11" s="16"/>
      <c r="BF11" s="9">
        <v>9.5144182036180691</v>
      </c>
      <c r="BG11" s="9">
        <v>12.919536738009899</v>
      </c>
      <c r="BH11" s="9"/>
      <c r="BI11" s="9">
        <v>12.1643723592749</v>
      </c>
      <c r="BJ11" s="9">
        <v>12.878633901359199</v>
      </c>
      <c r="BK11" s="9">
        <v>15.4055247809031</v>
      </c>
      <c r="BL11" s="9"/>
      <c r="BM11" s="9">
        <v>17.0929549394112</v>
      </c>
      <c r="BN11" s="8">
        <v>21.253896696660501</v>
      </c>
      <c r="BO11" s="16">
        <v>0.18409689368918999</v>
      </c>
      <c r="BP11" s="9">
        <v>0.88031649055694605</v>
      </c>
      <c r="BQ11" s="9">
        <v>0.99698795180722899</v>
      </c>
      <c r="BR11" s="9">
        <v>8.5513841486537706E-2</v>
      </c>
      <c r="BS11" s="9">
        <v>0.21409748445854601</v>
      </c>
      <c r="BT11" s="9">
        <v>0.74234737397541795</v>
      </c>
      <c r="BU11" s="9">
        <v>0.88208397034268105</v>
      </c>
      <c r="BV11" s="9">
        <v>0.80764640383847497</v>
      </c>
      <c r="BW11" s="9">
        <v>0.18624120865638599</v>
      </c>
      <c r="BX11" s="9">
        <v>0.98391728891441699</v>
      </c>
      <c r="BY11" s="8">
        <v>0.71436619718309802</v>
      </c>
      <c r="BZ11" s="16">
        <v>-3.8893057219575899</v>
      </c>
      <c r="CA11" s="9">
        <v>-4.5805253739453198</v>
      </c>
      <c r="CB11" s="9">
        <v>-14.808897950524999</v>
      </c>
      <c r="CC11" s="9">
        <v>-3.70263931521961</v>
      </c>
      <c r="CD11" s="9">
        <v>1.7972651225612699</v>
      </c>
      <c r="CE11" s="9">
        <v>-2.3061100202056499</v>
      </c>
      <c r="CF11" s="9">
        <v>0.154905777067326</v>
      </c>
      <c r="CG11" s="9">
        <v>-1.1586510191191799</v>
      </c>
      <c r="CH11" s="9">
        <v>-3.2828536249630198</v>
      </c>
      <c r="CI11" s="8">
        <v>-5.4732961450201598</v>
      </c>
      <c r="CJ11" s="16"/>
      <c r="CK11" s="9">
        <v>170.33783253509699</v>
      </c>
      <c r="CL11" s="9">
        <v>185.11884702791099</v>
      </c>
      <c r="CM11" s="9"/>
      <c r="CN11" s="9">
        <v>120.67057380400701</v>
      </c>
      <c r="CO11" s="9">
        <v>203.38447494937299</v>
      </c>
      <c r="CP11" s="9">
        <v>227.32890670859399</v>
      </c>
      <c r="CQ11" s="9"/>
      <c r="CR11" s="9">
        <v>198.589738216662</v>
      </c>
      <c r="CS11" s="8">
        <v>257.73793172630297</v>
      </c>
      <c r="CT11" s="16">
        <v>0.68730914976005497</v>
      </c>
      <c r="CU11" s="9">
        <v>1</v>
      </c>
      <c r="CV11" s="9">
        <v>1</v>
      </c>
      <c r="CW11" s="9">
        <v>0.60883579825559297</v>
      </c>
      <c r="CX11" s="9">
        <v>0.67432322699109304</v>
      </c>
      <c r="CY11" s="9">
        <v>1</v>
      </c>
      <c r="CZ11" s="9">
        <v>0.98670756646216695</v>
      </c>
      <c r="DA11" s="9">
        <v>0.99967989756722098</v>
      </c>
      <c r="DB11" s="9">
        <v>0.66635022609726402</v>
      </c>
      <c r="DC11" s="9">
        <v>1</v>
      </c>
      <c r="DD11" s="8">
        <v>0.99802816901408398</v>
      </c>
      <c r="DE11" s="16">
        <v>-0.108337535167416</v>
      </c>
      <c r="DF11" s="9">
        <v>-2.3470528897167502</v>
      </c>
      <c r="DG11" s="9">
        <v>-3.1015671640814602</v>
      </c>
      <c r="DH11" s="9">
        <v>-0.42645725190346101</v>
      </c>
      <c r="DI11" s="9">
        <v>2.88209219311682</v>
      </c>
      <c r="DJ11" s="9">
        <v>3.7265696914776298</v>
      </c>
      <c r="DK11" s="9">
        <v>3.1838458990656102</v>
      </c>
      <c r="DL11" s="9">
        <v>0.86283214211297599</v>
      </c>
      <c r="DM11" s="9">
        <v>-2.2303753362053702</v>
      </c>
      <c r="DN11" s="8">
        <v>-2.29032081515644</v>
      </c>
      <c r="DO11" s="9"/>
      <c r="DP11" s="9">
        <v>1230.6736627733301</v>
      </c>
      <c r="DQ11" s="9">
        <v>1329.5469675589</v>
      </c>
      <c r="DR11" s="9"/>
      <c r="DS11" s="9">
        <v>874.86166007905103</v>
      </c>
      <c r="DT11" s="9">
        <v>1424.05408278507</v>
      </c>
      <c r="DU11" s="9">
        <v>1439.21748119826</v>
      </c>
      <c r="DV11" s="9"/>
      <c r="DW11" s="9">
        <v>1293.1964618995501</v>
      </c>
      <c r="DX11" s="8">
        <v>1801.6438733235</v>
      </c>
      <c r="DY11" s="16">
        <v>1.5724427376485299</v>
      </c>
      <c r="DZ11" s="9">
        <v>16.715769621638501</v>
      </c>
      <c r="EA11" s="9">
        <v>51.631268566291403</v>
      </c>
      <c r="EB11" s="9">
        <v>0.15009380863039401</v>
      </c>
      <c r="EC11" s="9">
        <v>29.930425265791101</v>
      </c>
      <c r="ED11" s="3">
        <v>49.970395175869598</v>
      </c>
      <c r="EE11" s="8">
        <v>3312.5</v>
      </c>
    </row>
    <row r="12" spans="1:135" x14ac:dyDescent="0.2">
      <c r="A12" s="30"/>
      <c r="B12" s="3">
        <v>18</v>
      </c>
      <c r="C12" s="8" t="s">
        <v>107</v>
      </c>
      <c r="D12" s="9" t="s">
        <v>62</v>
      </c>
      <c r="E12" s="9" t="str">
        <f t="shared" si="0"/>
        <v>EMT_high</v>
      </c>
      <c r="F12" s="9" t="s">
        <v>63</v>
      </c>
      <c r="G12" s="9" t="s">
        <v>64</v>
      </c>
      <c r="H12" s="9">
        <v>1</v>
      </c>
      <c r="I12" s="9" t="s">
        <v>64</v>
      </c>
      <c r="J12" s="9" t="s">
        <v>77</v>
      </c>
      <c r="K12" s="9" t="s">
        <v>80</v>
      </c>
      <c r="L12" s="9">
        <v>0.12759999999999999</v>
      </c>
      <c r="M12" s="9">
        <v>39</v>
      </c>
      <c r="N12" s="9">
        <v>-7.2499999999999995E-2</v>
      </c>
      <c r="O12" s="9">
        <v>-0.46310000000000001</v>
      </c>
      <c r="P12" s="9" t="s">
        <v>108</v>
      </c>
      <c r="Q12" s="9" t="s">
        <v>68</v>
      </c>
      <c r="R12" s="9">
        <v>8.3168000000000006</v>
      </c>
      <c r="S12" s="9">
        <v>8.3210999999999995</v>
      </c>
      <c r="T12" s="9" t="s">
        <v>69</v>
      </c>
      <c r="U12" s="3">
        <v>1.58</v>
      </c>
      <c r="V12" s="8">
        <v>1</v>
      </c>
      <c r="W12" s="3">
        <v>1025</v>
      </c>
      <c r="X12" s="16">
        <v>21795.190211907899</v>
      </c>
      <c r="Y12" s="9">
        <v>135271.98635392901</v>
      </c>
      <c r="Z12" s="9">
        <v>852931.58019227802</v>
      </c>
      <c r="AA12" s="9">
        <v>95752.039103546806</v>
      </c>
      <c r="AB12" s="9">
        <v>84449.161870390497</v>
      </c>
      <c r="AC12" s="9">
        <v>237883.02655504801</v>
      </c>
      <c r="AD12" s="9">
        <v>749523.15582983103</v>
      </c>
      <c r="AE12" s="9">
        <v>394369.02405454998</v>
      </c>
      <c r="AF12" s="9">
        <v>984691.64795404801</v>
      </c>
      <c r="AG12" s="9">
        <v>7529.3008756373601</v>
      </c>
      <c r="AH12" s="9">
        <v>281430.70482139703</v>
      </c>
      <c r="AI12" s="8">
        <v>72078.779396655096</v>
      </c>
      <c r="AJ12" s="16">
        <v>3.70575221238938E-2</v>
      </c>
      <c r="AK12" s="9">
        <v>0.17961894183921001</v>
      </c>
      <c r="AL12" s="9">
        <v>0.205465553139075</v>
      </c>
      <c r="AM12" s="9">
        <v>5.0620476845890799E-2</v>
      </c>
      <c r="AN12" s="9">
        <v>5.36577459684347E-2</v>
      </c>
      <c r="AO12" s="9">
        <v>9.9933155080213804E-2</v>
      </c>
      <c r="AP12" s="9">
        <v>0.32236198042047798</v>
      </c>
      <c r="AQ12" s="9">
        <v>0.38886118038237699</v>
      </c>
      <c r="AR12" s="9">
        <v>2.6460859977949201E-2</v>
      </c>
      <c r="AS12" s="9">
        <v>0.40610165426075601</v>
      </c>
      <c r="AT12" s="8">
        <v>0.119063047212563</v>
      </c>
      <c r="AU12" s="16">
        <v>-4.1995914913152603</v>
      </c>
      <c r="AV12" s="9">
        <v>-5.4397624370506499</v>
      </c>
      <c r="AW12" s="9">
        <v>-10.970205170531999</v>
      </c>
      <c r="AX12" s="9">
        <v>-0.13939756917694099</v>
      </c>
      <c r="AY12" s="9">
        <v>-4.4890413138901302</v>
      </c>
      <c r="AZ12" s="9">
        <v>-3.67052393034206</v>
      </c>
      <c r="BA12" s="9">
        <v>-5.4560553900650097</v>
      </c>
      <c r="BB12" s="9">
        <v>-2.07437034129482</v>
      </c>
      <c r="BC12" s="9">
        <v>-1.4107994132374899</v>
      </c>
      <c r="BD12" s="8">
        <v>-2.64460202376153</v>
      </c>
      <c r="BE12" s="16"/>
      <c r="BF12" s="9">
        <v>3.4234154392421798</v>
      </c>
      <c r="BG12" s="9">
        <v>2.4999313351764401</v>
      </c>
      <c r="BH12" s="9">
        <v>14.3141067700566</v>
      </c>
      <c r="BI12" s="9">
        <v>3.7954070981210801</v>
      </c>
      <c r="BJ12" s="9">
        <v>9.2238521794503399</v>
      </c>
      <c r="BK12" s="9">
        <v>10.524919315125899</v>
      </c>
      <c r="BL12" s="9"/>
      <c r="BM12" s="9">
        <v>10.014348328586401</v>
      </c>
      <c r="BN12" s="8">
        <v>4.7689873417721502</v>
      </c>
      <c r="BO12" s="16">
        <v>0.33185840707964598</v>
      </c>
      <c r="BP12" s="9">
        <v>0.84647072322064998</v>
      </c>
      <c r="BQ12" s="9">
        <v>0.81943098774466805</v>
      </c>
      <c r="BR12" s="9">
        <v>0.34319639923633599</v>
      </c>
      <c r="BS12" s="9">
        <v>0.35119467053609699</v>
      </c>
      <c r="BT12" s="9">
        <v>0.62444295900178204</v>
      </c>
      <c r="BU12" s="9">
        <v>0.80025678061306305</v>
      </c>
      <c r="BV12" s="9">
        <v>0.79280271543363801</v>
      </c>
      <c r="BW12" s="9">
        <v>0.21278941565600801</v>
      </c>
      <c r="BX12" s="9">
        <v>0.942975270745671</v>
      </c>
      <c r="BY12" s="8">
        <v>0.56592914091616697</v>
      </c>
      <c r="BZ12" s="16">
        <v>-2.03167465256226</v>
      </c>
      <c r="CA12" s="9">
        <v>-1.41339491871157</v>
      </c>
      <c r="CB12" s="9">
        <v>-10.6672677695868</v>
      </c>
      <c r="CC12" s="9">
        <v>5.52032146968397</v>
      </c>
      <c r="CD12" s="9">
        <v>0.83967858522582395</v>
      </c>
      <c r="CE12" s="9">
        <v>8.3353913751913993</v>
      </c>
      <c r="CF12" s="9">
        <v>11.294912720532899</v>
      </c>
      <c r="CG12" s="9">
        <v>-1.3449490442649199</v>
      </c>
      <c r="CH12" s="9">
        <v>2.5446304719095001</v>
      </c>
      <c r="CI12" s="8">
        <v>2.63992854651503</v>
      </c>
      <c r="CJ12" s="16"/>
      <c r="CK12" s="9">
        <v>84.232258180761093</v>
      </c>
      <c r="CL12" s="9">
        <v>61.0765294840485</v>
      </c>
      <c r="CM12" s="9">
        <v>165.371309275275</v>
      </c>
      <c r="CN12" s="9">
        <v>105.909931404712</v>
      </c>
      <c r="CO12" s="9">
        <v>145.46393339262801</v>
      </c>
      <c r="CP12" s="9">
        <v>131.78677160221301</v>
      </c>
      <c r="CQ12" s="9"/>
      <c r="CR12" s="9">
        <v>105.54077304661899</v>
      </c>
      <c r="CS12" s="8">
        <v>118.357594936708</v>
      </c>
      <c r="CT12" s="16">
        <v>0.93971238938053003</v>
      </c>
      <c r="CU12" s="9">
        <v>1</v>
      </c>
      <c r="CV12" s="9">
        <v>1</v>
      </c>
      <c r="CW12" s="9">
        <v>0.75041069129334403</v>
      </c>
      <c r="CX12" s="9">
        <v>0.954993172615615</v>
      </c>
      <c r="CY12" s="9">
        <v>0.96022727272727204</v>
      </c>
      <c r="CZ12" s="9">
        <v>0.99731182795698903</v>
      </c>
      <c r="DA12" s="9">
        <v>0.98472222222222205</v>
      </c>
      <c r="DB12" s="9">
        <v>0.79933847850055095</v>
      </c>
      <c r="DC12" s="9">
        <v>1</v>
      </c>
      <c r="DD12" s="8">
        <v>0.99249061326658305</v>
      </c>
      <c r="DE12" s="16">
        <v>-1.6419874847565401</v>
      </c>
      <c r="DF12" s="9">
        <v>2.1328344143234101</v>
      </c>
      <c r="DG12" s="9">
        <v>-3.5972327565669402</v>
      </c>
      <c r="DH12" s="9">
        <v>0.72612999275801904</v>
      </c>
      <c r="DI12" s="9">
        <v>1.22882721870198</v>
      </c>
      <c r="DJ12" s="9">
        <v>1.4757599523982901</v>
      </c>
      <c r="DK12" s="9">
        <v>11.4978737605883</v>
      </c>
      <c r="DL12" s="9">
        <v>-1.73661699133395</v>
      </c>
      <c r="DM12" s="9">
        <v>1.52403544786337</v>
      </c>
      <c r="DN12" s="8">
        <v>2.2705530028259799</v>
      </c>
      <c r="DO12" s="9"/>
      <c r="DP12" s="9">
        <v>620.50683818177004</v>
      </c>
      <c r="DQ12" s="9">
        <v>501.37255330255698</v>
      </c>
      <c r="DR12" s="9">
        <v>778.49221592603601</v>
      </c>
      <c r="DS12" s="9">
        <v>805.43960632269602</v>
      </c>
      <c r="DT12" s="9">
        <v>615.70863134030196</v>
      </c>
      <c r="DU12" s="9">
        <v>703.83356693738904</v>
      </c>
      <c r="DV12" s="9"/>
      <c r="DW12" s="9">
        <v>598.15046386356596</v>
      </c>
      <c r="DX12" s="8">
        <v>525.45569620253104</v>
      </c>
      <c r="DY12" s="16">
        <v>4.4980665706270297</v>
      </c>
      <c r="DZ12" s="9">
        <v>11.6037354360957</v>
      </c>
      <c r="EA12" s="9">
        <v>34.632711603103601</v>
      </c>
      <c r="EB12" s="9">
        <v>4.43709404301564</v>
      </c>
      <c r="EC12" s="9">
        <v>44.828392347157902</v>
      </c>
      <c r="ED12" s="3">
        <v>57.149854158587701</v>
      </c>
      <c r="EE12" s="8">
        <v>1171.5</v>
      </c>
    </row>
    <row r="13" spans="1:135" x14ac:dyDescent="0.2">
      <c r="A13" s="30"/>
      <c r="B13" s="3">
        <v>21</v>
      </c>
      <c r="C13" s="8" t="s">
        <v>113</v>
      </c>
      <c r="D13" s="9" t="s">
        <v>62</v>
      </c>
      <c r="E13" s="9" t="str">
        <f t="shared" si="0"/>
        <v>EMT_high</v>
      </c>
      <c r="F13" s="9" t="s">
        <v>63</v>
      </c>
      <c r="G13" s="9" t="s">
        <v>64</v>
      </c>
      <c r="H13" s="9">
        <v>1</v>
      </c>
      <c r="I13" s="9" t="s">
        <v>64</v>
      </c>
      <c r="J13" s="9" t="s">
        <v>65</v>
      </c>
      <c r="K13" s="9" t="s">
        <v>80</v>
      </c>
      <c r="L13" s="9">
        <v>-3.1899999999999998E-2</v>
      </c>
      <c r="M13" s="9">
        <v>563</v>
      </c>
      <c r="N13" s="9">
        <v>-0.1391</v>
      </c>
      <c r="O13" s="9">
        <v>0.38950000000000001</v>
      </c>
      <c r="P13" s="9" t="s">
        <v>114</v>
      </c>
      <c r="Q13" s="9" t="s">
        <v>68</v>
      </c>
      <c r="R13" s="9">
        <v>20.421399999999998</v>
      </c>
      <c r="S13" s="9">
        <v>10.579000000000001</v>
      </c>
      <c r="T13" s="9" t="s">
        <v>69</v>
      </c>
      <c r="U13" s="3">
        <v>6.32</v>
      </c>
      <c r="V13" s="8">
        <v>0</v>
      </c>
      <c r="W13" s="3">
        <v>1873</v>
      </c>
      <c r="X13" s="16">
        <v>101546.82386461701</v>
      </c>
      <c r="Y13" s="9">
        <v>83735.876151400196</v>
      </c>
      <c r="Z13" s="9">
        <v>1629305.2525133099</v>
      </c>
      <c r="AA13" s="9">
        <v>49724.654011124599</v>
      </c>
      <c r="AB13" s="9">
        <v>450852.34025037201</v>
      </c>
      <c r="AC13" s="9">
        <v>108653.829904967</v>
      </c>
      <c r="AD13" s="9">
        <v>354273.42726495198</v>
      </c>
      <c r="AE13" s="9">
        <v>113883.687013205</v>
      </c>
      <c r="AF13" s="9">
        <v>41045.520181177999</v>
      </c>
      <c r="AG13" s="9">
        <v>4362.4525626479699</v>
      </c>
      <c r="AH13" s="9">
        <v>332760.75637477299</v>
      </c>
      <c r="AI13" s="8">
        <v>493300.06928510102</v>
      </c>
      <c r="AJ13" s="16">
        <v>0.23242670434475399</v>
      </c>
      <c r="AK13" s="9">
        <v>0.199788955328877</v>
      </c>
      <c r="AL13" s="9">
        <v>0.81436745073108696</v>
      </c>
      <c r="AM13" s="9">
        <v>4.8314216197427803E-2</v>
      </c>
      <c r="AN13" s="9">
        <v>0.20367534456355199</v>
      </c>
      <c r="AO13" s="9">
        <v>5.8906030855539901E-2</v>
      </c>
      <c r="AP13" s="9">
        <v>0.21686746987951799</v>
      </c>
      <c r="AQ13" s="9">
        <v>3.3264033264033203E-2</v>
      </c>
      <c r="AR13" s="9">
        <v>2.16867469879518E-2</v>
      </c>
      <c r="AS13" s="9">
        <v>0.68655015197568303</v>
      </c>
      <c r="AT13" s="8">
        <v>0.75757575757575701</v>
      </c>
      <c r="AU13" s="16">
        <v>-8.0144746614370099</v>
      </c>
      <c r="AV13" s="9">
        <v>-8.9355498230634804</v>
      </c>
      <c r="AW13" s="9">
        <v>-29.713190769833201</v>
      </c>
      <c r="AX13" s="9">
        <v>3.9112236600761801</v>
      </c>
      <c r="AY13" s="9">
        <v>9.2885850094944296</v>
      </c>
      <c r="AZ13" s="9">
        <v>2.0783417994576401</v>
      </c>
      <c r="BA13" s="9">
        <v>3.3228342564831599</v>
      </c>
      <c r="BB13" s="9">
        <v>-2.1917076621292599</v>
      </c>
      <c r="BC13" s="9">
        <v>-4.5669046573528904</v>
      </c>
      <c r="BD13" s="8">
        <v>-9.1441091069568508</v>
      </c>
      <c r="BE13" s="16">
        <v>2.6524779568257801</v>
      </c>
      <c r="BF13" s="9">
        <v>1.04491555874955</v>
      </c>
      <c r="BG13" s="9">
        <v>4.2414499065110798</v>
      </c>
      <c r="BH13" s="9">
        <v>23.706521739130402</v>
      </c>
      <c r="BI13" s="9">
        <v>21.517520394990701</v>
      </c>
      <c r="BJ13" s="9">
        <v>18.148533388807898</v>
      </c>
      <c r="BK13" s="9">
        <v>22.9881422924901</v>
      </c>
      <c r="BL13" s="9"/>
      <c r="BM13" s="9">
        <v>10.996133046046699</v>
      </c>
      <c r="BN13" s="8">
        <v>8.7710368347904897</v>
      </c>
      <c r="BO13" s="16">
        <v>0.86259272341928594</v>
      </c>
      <c r="BP13" s="9">
        <v>0.90643686246922195</v>
      </c>
      <c r="BQ13" s="9">
        <v>1</v>
      </c>
      <c r="BR13" s="9">
        <v>0.32638164754952997</v>
      </c>
      <c r="BS13" s="9">
        <v>0.68261868300153095</v>
      </c>
      <c r="BT13" s="9">
        <v>0.35624123422159798</v>
      </c>
      <c r="BU13" s="9">
        <v>0.73493975903614395</v>
      </c>
      <c r="BV13" s="9">
        <v>0.21205821205821199</v>
      </c>
      <c r="BW13" s="9">
        <v>0.183476764199655</v>
      </c>
      <c r="BX13" s="9">
        <v>1</v>
      </c>
      <c r="BY13" s="8">
        <v>1</v>
      </c>
      <c r="BZ13" s="16">
        <v>2.6846863985095202</v>
      </c>
      <c r="CA13" s="9">
        <v>-8.6728886696646903</v>
      </c>
      <c r="CB13" s="9">
        <v>-18.833182504401599</v>
      </c>
      <c r="CC13" s="9">
        <v>12.203954620409201</v>
      </c>
      <c r="CD13" s="9">
        <v>34.938374550071501</v>
      </c>
      <c r="CE13" s="9">
        <v>18.9335910111988</v>
      </c>
      <c r="CF13" s="9">
        <v>11.5806024288058</v>
      </c>
      <c r="CG13" s="9">
        <v>-3.9653412061222602</v>
      </c>
      <c r="CH13" s="9">
        <v>-3.63857626154986</v>
      </c>
      <c r="CI13" s="8">
        <v>-3.5503569381704598</v>
      </c>
      <c r="CJ13" s="16">
        <v>176.684503901895</v>
      </c>
      <c r="CK13" s="9">
        <v>101.530961791831</v>
      </c>
      <c r="CL13" s="9">
        <v>120.98886416889501</v>
      </c>
      <c r="CM13" s="9">
        <v>275.49851778656102</v>
      </c>
      <c r="CN13" s="9">
        <v>277.67663459363001</v>
      </c>
      <c r="CO13" s="9">
        <v>293.19963941474202</v>
      </c>
      <c r="CP13" s="9">
        <v>283.85358308987702</v>
      </c>
      <c r="CQ13" s="9"/>
      <c r="CR13" s="9">
        <v>147.59715186712501</v>
      </c>
      <c r="CS13" s="8">
        <v>148.649009886351</v>
      </c>
      <c r="CT13" s="16">
        <v>1</v>
      </c>
      <c r="CU13" s="9">
        <v>1</v>
      </c>
      <c r="CV13" s="9">
        <v>1</v>
      </c>
      <c r="CW13" s="9">
        <v>0.95863746958637397</v>
      </c>
      <c r="CX13" s="9">
        <v>0.99196018376722805</v>
      </c>
      <c r="CY13" s="9">
        <v>0.81486676016830295</v>
      </c>
      <c r="CZ13" s="9">
        <v>0.99774096385542099</v>
      </c>
      <c r="DA13" s="9">
        <v>0.80041580041579996</v>
      </c>
      <c r="DB13" s="9">
        <v>0.86781411359724603</v>
      </c>
      <c r="DC13" s="9">
        <v>1</v>
      </c>
      <c r="DD13" s="8">
        <v>1</v>
      </c>
      <c r="DE13" s="16">
        <v>-0.42155901818165098</v>
      </c>
      <c r="DF13" s="9">
        <v>-6.1260882362725404</v>
      </c>
      <c r="DG13" s="9">
        <v>-2.9824229185406899</v>
      </c>
      <c r="DH13" s="9">
        <v>3.6122176422146799</v>
      </c>
      <c r="DI13" s="9">
        <v>8.0360728092398706</v>
      </c>
      <c r="DJ13" s="9">
        <v>9.3422917641529999</v>
      </c>
      <c r="DK13" s="9">
        <v>1.55062699760975</v>
      </c>
      <c r="DL13" s="9">
        <v>2.2822825518663001</v>
      </c>
      <c r="DM13" s="9">
        <v>-3.10486754832906</v>
      </c>
      <c r="DN13" s="8">
        <v>-0.39558323038739202</v>
      </c>
      <c r="DO13" s="9">
        <v>1055.5388669301699</v>
      </c>
      <c r="DP13" s="9">
        <v>836.10659959276495</v>
      </c>
      <c r="DQ13" s="9">
        <v>1021.5785898558599</v>
      </c>
      <c r="DR13" s="9">
        <v>1271.53162055335</v>
      </c>
      <c r="DS13" s="9">
        <v>1250.60912151821</v>
      </c>
      <c r="DT13" s="9">
        <v>1461.15858817002</v>
      </c>
      <c r="DU13" s="9">
        <v>1168.3973191269899</v>
      </c>
      <c r="DV13" s="9"/>
      <c r="DW13" s="9">
        <v>1000.3991381401499</v>
      </c>
      <c r="DX13" s="8">
        <v>1062.15536258168</v>
      </c>
      <c r="DY13" s="16">
        <v>44.864048338368498</v>
      </c>
      <c r="DZ13" s="9">
        <v>8.6102719033232606</v>
      </c>
      <c r="EA13" s="9">
        <v>38.2175226586102</v>
      </c>
      <c r="EB13" s="9">
        <v>4.8338368580060402</v>
      </c>
      <c r="EC13" s="9">
        <v>3.4743202416918399</v>
      </c>
      <c r="ED13" s="3">
        <v>23.441926345609001</v>
      </c>
      <c r="EE13" s="8">
        <v>2824</v>
      </c>
    </row>
    <row r="14" spans="1:135" x14ac:dyDescent="0.2">
      <c r="A14" s="30"/>
      <c r="B14" s="3">
        <v>22</v>
      </c>
      <c r="C14" s="8" t="s">
        <v>115</v>
      </c>
      <c r="D14" s="9" t="s">
        <v>62</v>
      </c>
      <c r="E14" s="9" t="str">
        <f t="shared" si="0"/>
        <v>EMT_high</v>
      </c>
      <c r="F14" s="9" t="s">
        <v>72</v>
      </c>
      <c r="G14" s="9" t="s">
        <v>64</v>
      </c>
      <c r="H14" s="9">
        <v>1</v>
      </c>
      <c r="I14" s="9" t="s">
        <v>64</v>
      </c>
      <c r="J14" s="9" t="s">
        <v>65</v>
      </c>
      <c r="K14" s="9" t="s">
        <v>66</v>
      </c>
      <c r="L14" s="9">
        <v>6.9400000000000003E-2</v>
      </c>
      <c r="M14" s="9">
        <v>109</v>
      </c>
      <c r="N14" s="9">
        <v>-0.438</v>
      </c>
      <c r="O14" s="9">
        <v>-4.58E-2</v>
      </c>
      <c r="P14" s="9" t="s">
        <v>116</v>
      </c>
      <c r="Q14" s="9" t="s">
        <v>68</v>
      </c>
      <c r="R14" s="9">
        <v>19.6675</v>
      </c>
      <c r="S14" s="9">
        <v>12.6525</v>
      </c>
      <c r="T14" s="9" t="s">
        <v>69</v>
      </c>
      <c r="U14" s="3">
        <v>6.3</v>
      </c>
      <c r="V14" s="8">
        <v>0</v>
      </c>
      <c r="W14" s="3">
        <v>3401</v>
      </c>
      <c r="X14" s="16">
        <v>87294.338766524903</v>
      </c>
      <c r="Y14" s="9">
        <v>85436.951625818605</v>
      </c>
      <c r="Z14" s="9">
        <v>365376.12362537702</v>
      </c>
      <c r="AA14" s="9">
        <v>119847.294031079</v>
      </c>
      <c r="AB14" s="9">
        <v>11377.1572721062</v>
      </c>
      <c r="AC14" s="9">
        <v>300314.91582006402</v>
      </c>
      <c r="AD14" s="9">
        <v>2609048.6086329999</v>
      </c>
      <c r="AE14" s="9">
        <v>433708.049524648</v>
      </c>
      <c r="AF14" s="9">
        <v>59866.862496393303</v>
      </c>
      <c r="AG14" s="9"/>
      <c r="AH14" s="9">
        <v>243738.77919973599</v>
      </c>
      <c r="AI14" s="8">
        <v>137402.42937658</v>
      </c>
      <c r="AJ14" s="16">
        <v>9.4837935174069604E-2</v>
      </c>
      <c r="AK14" s="9">
        <v>0.20657841957480899</v>
      </c>
      <c r="AL14" s="9">
        <v>0.27429805615550701</v>
      </c>
      <c r="AM14" s="9">
        <v>0.101810865191146</v>
      </c>
      <c r="AN14" s="9">
        <v>1.5741833923652099E-2</v>
      </c>
      <c r="AO14" s="9">
        <v>0.13297431648715799</v>
      </c>
      <c r="AP14" s="9">
        <v>0.64838129496402797</v>
      </c>
      <c r="AQ14" s="9">
        <v>5.6791104050833902E-2</v>
      </c>
      <c r="AR14" s="9"/>
      <c r="AS14" s="9">
        <v>0.69550608987820195</v>
      </c>
      <c r="AT14" s="8">
        <v>0.262474645030425</v>
      </c>
      <c r="AU14" s="16">
        <v>-13.466868081583099</v>
      </c>
      <c r="AV14" s="9">
        <v>-7.8957932094539203</v>
      </c>
      <c r="AW14" s="9">
        <v>-29.2205371627959</v>
      </c>
      <c r="AX14" s="9">
        <v>-2.82370910491391</v>
      </c>
      <c r="AY14" s="9">
        <v>-3.47861475493941</v>
      </c>
      <c r="AZ14" s="9">
        <v>-4.56881509717204</v>
      </c>
      <c r="BA14" s="9">
        <v>-2.9961292992273898</v>
      </c>
      <c r="BB14" s="9"/>
      <c r="BC14" s="9">
        <v>-7.7324015905802996</v>
      </c>
      <c r="BD14" s="8">
        <v>-13.193513292061001</v>
      </c>
      <c r="BE14" s="16">
        <v>3.0767864248763499</v>
      </c>
      <c r="BF14" s="9">
        <v>13.4154469485945</v>
      </c>
      <c r="BG14" s="9">
        <v>3.58541549607278</v>
      </c>
      <c r="BH14" s="9">
        <v>23.4237962594508</v>
      </c>
      <c r="BI14" s="9"/>
      <c r="BJ14" s="9">
        <v>23.123981416039499</v>
      </c>
      <c r="BK14" s="9">
        <v>20.692896935933099</v>
      </c>
      <c r="BL14" s="9"/>
      <c r="BM14" s="9">
        <v>20.710598302003199</v>
      </c>
      <c r="BN14" s="8">
        <v>8.5905795885491791</v>
      </c>
      <c r="BO14" s="16">
        <v>0.59623849539815899</v>
      </c>
      <c r="BP14" s="9">
        <v>0.89731247492980304</v>
      </c>
      <c r="BQ14" s="9">
        <v>0.98963282937365005</v>
      </c>
      <c r="BR14" s="9">
        <v>0.59315895372233396</v>
      </c>
      <c r="BS14" s="9">
        <v>0.17434081070444701</v>
      </c>
      <c r="BT14" s="9">
        <v>0.45484672742336302</v>
      </c>
      <c r="BU14" s="9">
        <v>0.86420863309352502</v>
      </c>
      <c r="BV14" s="9">
        <v>0.39356632247815698</v>
      </c>
      <c r="BW14" s="9"/>
      <c r="BX14" s="9">
        <v>0.99958000839983197</v>
      </c>
      <c r="BY14" s="8">
        <v>0.94645030425963395</v>
      </c>
      <c r="BZ14" s="16">
        <v>-9.6328773944935904</v>
      </c>
      <c r="CA14" s="9">
        <v>-2.88542494489618</v>
      </c>
      <c r="CB14" s="9">
        <v>-27.9918636998446</v>
      </c>
      <c r="CC14" s="9">
        <v>3.4279758014543402</v>
      </c>
      <c r="CD14" s="9">
        <v>-2.1004089840861599</v>
      </c>
      <c r="CE14" s="9">
        <v>16.8102122277568</v>
      </c>
      <c r="CF14" s="9">
        <v>2.1647674675719299</v>
      </c>
      <c r="CG14" s="9"/>
      <c r="CH14" s="9">
        <v>-5.3573116222039099</v>
      </c>
      <c r="CI14" s="8">
        <v>-7.2415904790638503</v>
      </c>
      <c r="CJ14" s="16">
        <v>99.651682678642402</v>
      </c>
      <c r="CK14" s="9">
        <v>233.41587743732501</v>
      </c>
      <c r="CL14" s="9">
        <v>72.545668105251806</v>
      </c>
      <c r="CM14" s="9">
        <v>340.602268205332</v>
      </c>
      <c r="CN14" s="9"/>
      <c r="CO14" s="9">
        <v>466.56967426100698</v>
      </c>
      <c r="CP14" s="9">
        <v>336.821239554317</v>
      </c>
      <c r="CQ14" s="9"/>
      <c r="CR14" s="9">
        <v>236.058337364268</v>
      </c>
      <c r="CS14" s="8">
        <v>186.47113803402999</v>
      </c>
      <c r="CT14" s="16">
        <v>0.99639855942376898</v>
      </c>
      <c r="CU14" s="9">
        <v>1</v>
      </c>
      <c r="CV14" s="9">
        <v>1</v>
      </c>
      <c r="CW14" s="9">
        <v>0.965392354124748</v>
      </c>
      <c r="CX14" s="9">
        <v>0.88744588744588704</v>
      </c>
      <c r="CY14" s="9">
        <v>0.91300745650372805</v>
      </c>
      <c r="CZ14" s="9">
        <v>0.98111510791366896</v>
      </c>
      <c r="DA14" s="9">
        <v>0.96981731532962601</v>
      </c>
      <c r="DB14" s="9"/>
      <c r="DC14" s="9">
        <v>1</v>
      </c>
      <c r="DD14" s="8">
        <v>1</v>
      </c>
      <c r="DE14" s="16">
        <v>-1.0128050412729599</v>
      </c>
      <c r="DF14" s="9">
        <v>0.44311276135108901</v>
      </c>
      <c r="DG14" s="9">
        <v>-22.412607513648901</v>
      </c>
      <c r="DH14" s="9">
        <v>6.23648226113436</v>
      </c>
      <c r="DI14" s="9">
        <v>-0.808939308164346</v>
      </c>
      <c r="DJ14" s="9">
        <v>11.467696374301701</v>
      </c>
      <c r="DK14" s="9">
        <v>4.0889300131311197</v>
      </c>
      <c r="DL14" s="9"/>
      <c r="DM14" s="9">
        <v>-1.7248114337170499</v>
      </c>
      <c r="DN14" s="8">
        <v>3.6569020561020902</v>
      </c>
      <c r="DO14" s="9">
        <v>1487.35475527258</v>
      </c>
      <c r="DP14" s="9">
        <v>1585.9573689541601</v>
      </c>
      <c r="DQ14" s="9">
        <v>914.13631690317595</v>
      </c>
      <c r="DR14" s="9">
        <v>1927.4236967767599</v>
      </c>
      <c r="DS14" s="9"/>
      <c r="DT14" s="9">
        <v>2012.36878455909</v>
      </c>
      <c r="DU14" s="9">
        <v>1912.14192200557</v>
      </c>
      <c r="DV14" s="9"/>
      <c r="DW14" s="9">
        <v>1495.3158182242701</v>
      </c>
      <c r="DX14" s="8">
        <v>1747.1358358223899</v>
      </c>
      <c r="DY14" s="16">
        <v>0.41916167664670601</v>
      </c>
      <c r="DZ14" s="9">
        <v>8.0239520958083794</v>
      </c>
      <c r="EA14" s="9">
        <v>85.988023952095801</v>
      </c>
      <c r="EB14" s="9">
        <v>3.7724550898203502</v>
      </c>
      <c r="EC14" s="9">
        <v>1.79640718562874</v>
      </c>
      <c r="ED14" s="3">
        <v>73.992024811696893</v>
      </c>
      <c r="EE14" s="8">
        <v>2257</v>
      </c>
    </row>
    <row r="15" spans="1:135" x14ac:dyDescent="0.2">
      <c r="A15" s="30"/>
      <c r="B15" s="3">
        <v>23</v>
      </c>
      <c r="C15" s="8" t="s">
        <v>117</v>
      </c>
      <c r="D15" s="9" t="s">
        <v>71</v>
      </c>
      <c r="E15" s="9" t="str">
        <f t="shared" si="0"/>
        <v>EMT_high</v>
      </c>
      <c r="F15" s="9" t="s">
        <v>63</v>
      </c>
      <c r="G15" s="9" t="s">
        <v>64</v>
      </c>
      <c r="H15" s="9">
        <v>1</v>
      </c>
      <c r="I15" s="9" t="s">
        <v>64</v>
      </c>
      <c r="J15" s="9" t="s">
        <v>65</v>
      </c>
      <c r="K15" s="9" t="s">
        <v>80</v>
      </c>
      <c r="L15" s="9">
        <v>4.48E-2</v>
      </c>
      <c r="M15" s="9">
        <v>30</v>
      </c>
      <c r="N15" s="9">
        <v>-0.2384</v>
      </c>
      <c r="O15" s="9">
        <v>-0.38429999999999997</v>
      </c>
      <c r="P15" s="9" t="s">
        <v>118</v>
      </c>
      <c r="Q15" s="9" t="s">
        <v>68</v>
      </c>
      <c r="R15" s="9">
        <v>12.360799999999999</v>
      </c>
      <c r="S15" s="9">
        <v>8.7800999999999991</v>
      </c>
      <c r="T15" s="9" t="s">
        <v>73</v>
      </c>
      <c r="U15" s="3">
        <v>3.68</v>
      </c>
      <c r="V15" s="8">
        <v>0</v>
      </c>
      <c r="W15" s="3">
        <v>413</v>
      </c>
      <c r="X15" s="16">
        <v>1708.15546812609</v>
      </c>
      <c r="Y15" s="9">
        <v>97676.112028065196</v>
      </c>
      <c r="Z15" s="9">
        <v>1590884.3549576299</v>
      </c>
      <c r="AA15" s="9">
        <v>232168.74250458999</v>
      </c>
      <c r="AB15" s="9">
        <v>351532.35368941899</v>
      </c>
      <c r="AC15" s="9">
        <v>60102.964260532499</v>
      </c>
      <c r="AD15" s="9">
        <v>1091287.2427773799</v>
      </c>
      <c r="AE15" s="9">
        <v>314765.116149429</v>
      </c>
      <c r="AF15" s="9">
        <v>119969.137246702</v>
      </c>
      <c r="AG15" s="9">
        <v>4306.5862942980302</v>
      </c>
      <c r="AH15" s="9">
        <v>195883.428997237</v>
      </c>
      <c r="AI15" s="8">
        <v>49325.657373069698</v>
      </c>
      <c r="AJ15" s="16">
        <v>1.08656283955088E-2</v>
      </c>
      <c r="AK15" s="9">
        <v>0.161728966101163</v>
      </c>
      <c r="AL15" s="9">
        <v>0.331270786227852</v>
      </c>
      <c r="AM15" s="9">
        <v>0.134443071671836</v>
      </c>
      <c r="AN15" s="9">
        <v>0.185845300351828</v>
      </c>
      <c r="AO15" s="9">
        <v>3.5488010419060703E-2</v>
      </c>
      <c r="AP15" s="9">
        <v>0.43588482532402001</v>
      </c>
      <c r="AQ15" s="9">
        <v>7.9424328903605498E-2</v>
      </c>
      <c r="AR15" s="9">
        <v>1.09926388113584E-2</v>
      </c>
      <c r="AS15" s="9">
        <v>0.31846479864538901</v>
      </c>
      <c r="AT15" s="8">
        <v>7.6990071971823698E-2</v>
      </c>
      <c r="AU15" s="16">
        <v>-1.73180443584808</v>
      </c>
      <c r="AV15" s="9">
        <v>-13.43999587906</v>
      </c>
      <c r="AW15" s="9">
        <v>-35.374328996640003</v>
      </c>
      <c r="AX15" s="9">
        <v>3.8782011820440299</v>
      </c>
      <c r="AY15" s="9">
        <v>-8.9704567206391008</v>
      </c>
      <c r="AZ15" s="9">
        <v>-2.7768394571788901</v>
      </c>
      <c r="BA15" s="9">
        <v>-8.7704665872965695</v>
      </c>
      <c r="BB15" s="9">
        <v>-2.8418157716049599</v>
      </c>
      <c r="BC15" s="9">
        <v>-13.8222584632889</v>
      </c>
      <c r="BD15" s="8">
        <v>-9.9562684125244605</v>
      </c>
      <c r="BE15" s="16"/>
      <c r="BF15" s="9">
        <v>0.76911280104320801</v>
      </c>
      <c r="BG15" s="9">
        <v>2.0211420905433699</v>
      </c>
      <c r="BH15" s="9">
        <v>27.539102714982601</v>
      </c>
      <c r="BI15" s="9">
        <v>16.916348566578101</v>
      </c>
      <c r="BJ15" s="9">
        <v>10.5874954966757</v>
      </c>
      <c r="BK15" s="9">
        <v>13.8333579685551</v>
      </c>
      <c r="BL15" s="9"/>
      <c r="BM15" s="9">
        <v>9.5992575475261699</v>
      </c>
      <c r="BN15" s="8">
        <v>2.3355778144814701</v>
      </c>
      <c r="BO15" s="16">
        <v>0.158638174574429</v>
      </c>
      <c r="BP15" s="9">
        <v>0.61362591071111205</v>
      </c>
      <c r="BQ15" s="9">
        <v>0.825792717941356</v>
      </c>
      <c r="BR15" s="9">
        <v>0.45455139653743898</v>
      </c>
      <c r="BS15" s="9">
        <v>0.55746423794623401</v>
      </c>
      <c r="BT15" s="9">
        <v>0.19064391327664101</v>
      </c>
      <c r="BU15" s="9">
        <v>0.64493150860112103</v>
      </c>
      <c r="BV15" s="9">
        <v>0.451456714867225</v>
      </c>
      <c r="BW15" s="9">
        <v>0.122199748540543</v>
      </c>
      <c r="BX15" s="9">
        <v>0.94471286193392801</v>
      </c>
      <c r="BY15" s="8">
        <v>0.40338888605311901</v>
      </c>
      <c r="BZ15" s="16">
        <v>-3.320081293036</v>
      </c>
      <c r="CA15" s="9">
        <v>-14.8316860721264</v>
      </c>
      <c r="CB15" s="9">
        <v>-31.802347873430701</v>
      </c>
      <c r="CC15" s="9">
        <v>31.577460482466101</v>
      </c>
      <c r="CD15" s="9">
        <v>16.638092250579302</v>
      </c>
      <c r="CE15" s="9">
        <v>3.9693176738053899</v>
      </c>
      <c r="CF15" s="9">
        <v>6.0642150923961999</v>
      </c>
      <c r="CG15" s="9">
        <v>-3.0745755669790298</v>
      </c>
      <c r="CH15" s="9">
        <v>-9.6838252756588492</v>
      </c>
      <c r="CI15" s="8">
        <v>-4.9576705332977102</v>
      </c>
      <c r="CJ15" s="16"/>
      <c r="CK15" s="9">
        <v>62.292556055431298</v>
      </c>
      <c r="CL15" s="9">
        <v>73.096273783265602</v>
      </c>
      <c r="CM15" s="9">
        <v>395.85677919401201</v>
      </c>
      <c r="CN15" s="9">
        <v>312.94029529557002</v>
      </c>
      <c r="CO15" s="9">
        <v>234.82230155350999</v>
      </c>
      <c r="CP15" s="9">
        <v>273.22877015528599</v>
      </c>
      <c r="CQ15" s="9"/>
      <c r="CR15" s="9">
        <v>156.825713459078</v>
      </c>
      <c r="CS15" s="8">
        <v>146.11943442170201</v>
      </c>
      <c r="CT15" s="16">
        <v>0.64759145237232796</v>
      </c>
      <c r="CU15" s="9">
        <v>0.93618881118881103</v>
      </c>
      <c r="CV15" s="9">
        <v>1</v>
      </c>
      <c r="CW15" s="9">
        <v>0.87527136403239103</v>
      </c>
      <c r="CX15" s="9">
        <v>0.87877629063097495</v>
      </c>
      <c r="CY15" s="9">
        <v>0.707705125258561</v>
      </c>
      <c r="CZ15" s="9">
        <v>0.928856117975289</v>
      </c>
      <c r="DA15" s="9">
        <v>0.931097338680277</v>
      </c>
      <c r="DB15" s="9">
        <v>0.697180941251349</v>
      </c>
      <c r="DC15" s="9">
        <v>1</v>
      </c>
      <c r="DD15" s="8">
        <v>0.92656002756367695</v>
      </c>
      <c r="DE15" s="16">
        <v>-3.94504301651458</v>
      </c>
      <c r="DF15" s="9">
        <v>-0.76513618090355595</v>
      </c>
      <c r="DG15" s="9">
        <v>-14.096539719668399</v>
      </c>
      <c r="DH15" s="9">
        <v>12.173464298439299</v>
      </c>
      <c r="DI15" s="9">
        <v>14.023287804315601</v>
      </c>
      <c r="DJ15" s="9">
        <v>3.4553421345345301</v>
      </c>
      <c r="DK15" s="9">
        <v>4.9904559778686703</v>
      </c>
      <c r="DL15" s="9">
        <v>1.2318874500490899</v>
      </c>
      <c r="DM15" s="9">
        <v>4.6084409551121297</v>
      </c>
      <c r="DN15" s="8">
        <v>2.3597480106443598</v>
      </c>
      <c r="DO15" s="9"/>
      <c r="DP15" s="9">
        <v>1183.0790675501401</v>
      </c>
      <c r="DQ15" s="9">
        <v>942.54670005022695</v>
      </c>
      <c r="DR15" s="9">
        <v>1606.1607670655801</v>
      </c>
      <c r="DS15" s="9">
        <v>1617.7327048080999</v>
      </c>
      <c r="DT15" s="9">
        <v>1451.0940512451</v>
      </c>
      <c r="DU15" s="9">
        <v>1536.26775170527</v>
      </c>
      <c r="DV15" s="9"/>
      <c r="DW15" s="9">
        <v>1337.75653557192</v>
      </c>
      <c r="DX15" s="8">
        <v>1325.6461065283499</v>
      </c>
      <c r="DY15" s="16">
        <v>22.049941927990702</v>
      </c>
      <c r="DZ15" s="9">
        <v>2.6064130332422999</v>
      </c>
      <c r="EA15" s="9">
        <v>57.179976143390697</v>
      </c>
      <c r="EB15" s="9">
        <v>12.574630379508401</v>
      </c>
      <c r="EC15" s="9">
        <v>5.58903851586778</v>
      </c>
      <c r="ED15" s="3">
        <v>51.303858554321003</v>
      </c>
      <c r="EE15" s="8">
        <v>2812.5</v>
      </c>
    </row>
    <row r="16" spans="1:135" x14ac:dyDescent="0.2">
      <c r="A16" s="30"/>
      <c r="B16" s="3">
        <v>26</v>
      </c>
      <c r="C16" s="8" t="s">
        <v>122</v>
      </c>
      <c r="D16" s="9" t="s">
        <v>71</v>
      </c>
      <c r="E16" s="9" t="str">
        <f t="shared" si="0"/>
        <v>EMT_high</v>
      </c>
      <c r="F16" s="9" t="s">
        <v>63</v>
      </c>
      <c r="G16" s="9" t="s">
        <v>64</v>
      </c>
      <c r="H16" s="9">
        <v>1</v>
      </c>
      <c r="I16" s="9" t="s">
        <v>64</v>
      </c>
      <c r="J16" s="9" t="s">
        <v>65</v>
      </c>
      <c r="K16" s="9" t="s">
        <v>66</v>
      </c>
      <c r="L16" s="9">
        <v>-0.17929999999999999</v>
      </c>
      <c r="M16" s="9">
        <v>520</v>
      </c>
      <c r="N16" s="9">
        <v>-0.1182</v>
      </c>
      <c r="O16" s="9">
        <v>0.34810000000000002</v>
      </c>
      <c r="P16" s="9" t="s">
        <v>123</v>
      </c>
      <c r="Q16" s="9" t="s">
        <v>68</v>
      </c>
      <c r="R16" s="9">
        <v>13.5159</v>
      </c>
      <c r="S16" s="9">
        <v>4.7249999999999996</v>
      </c>
      <c r="T16" s="9" t="s">
        <v>73</v>
      </c>
      <c r="U16" s="3">
        <v>2.63</v>
      </c>
      <c r="V16" s="8">
        <v>0</v>
      </c>
      <c r="W16" s="3">
        <v>1842</v>
      </c>
      <c r="X16" s="16">
        <v>84906.949125979198</v>
      </c>
      <c r="Y16" s="9">
        <v>101125.36096189301</v>
      </c>
      <c r="Z16" s="9">
        <v>857445.38812484895</v>
      </c>
      <c r="AA16" s="9">
        <v>613885.60962241597</v>
      </c>
      <c r="AB16" s="9">
        <v>149878.670114685</v>
      </c>
      <c r="AC16" s="9">
        <v>295815.29475088499</v>
      </c>
      <c r="AD16" s="9">
        <v>484452.39446924301</v>
      </c>
      <c r="AE16" s="9">
        <v>248512.45667086201</v>
      </c>
      <c r="AF16" s="9">
        <v>296463.43572836003</v>
      </c>
      <c r="AG16" s="9">
        <v>2005.7809561209799</v>
      </c>
      <c r="AH16" s="9">
        <v>753194.23689881305</v>
      </c>
      <c r="AI16" s="8">
        <v>295868.10394900298</v>
      </c>
      <c r="AJ16" s="16">
        <v>9.9687312986235704E-2</v>
      </c>
      <c r="AK16" s="9">
        <v>0.14859764135772499</v>
      </c>
      <c r="AL16" s="9">
        <v>0.61905585797549201</v>
      </c>
      <c r="AM16" s="9">
        <v>0.31339868141681798</v>
      </c>
      <c r="AN16" s="9">
        <v>9.2229448872805403E-2</v>
      </c>
      <c r="AO16" s="9">
        <v>0.18467043584054901</v>
      </c>
      <c r="AP16" s="9">
        <v>0.27081647177340901</v>
      </c>
      <c r="AQ16" s="9">
        <v>0.18953676829062799</v>
      </c>
      <c r="AR16" s="9">
        <v>9.5858006434715003E-3</v>
      </c>
      <c r="AS16" s="9">
        <v>0.66317669797135104</v>
      </c>
      <c r="AT16" s="8">
        <v>0.44074100528342403</v>
      </c>
      <c r="AU16" s="16">
        <v>-7.5061253311495104</v>
      </c>
      <c r="AV16" s="9">
        <v>-9.5420812879376609</v>
      </c>
      <c r="AW16" s="9">
        <v>-18.665175536231999</v>
      </c>
      <c r="AX16" s="9">
        <v>17.568124183633799</v>
      </c>
      <c r="AY16" s="9">
        <v>4.3089000915123004</v>
      </c>
      <c r="AZ16" s="9">
        <v>6.2186677696751298</v>
      </c>
      <c r="BA16" s="9">
        <v>-1.4001998269189799</v>
      </c>
      <c r="BB16" s="9">
        <v>-1.71719927609131</v>
      </c>
      <c r="BC16" s="9">
        <v>-17.281187610913999</v>
      </c>
      <c r="BD16" s="8">
        <v>-14.081174823833599</v>
      </c>
      <c r="BE16" s="16">
        <v>1.22138513206862</v>
      </c>
      <c r="BF16" s="9">
        <v>1.8693244158109601</v>
      </c>
      <c r="BG16" s="9">
        <v>6.9640873740370299</v>
      </c>
      <c r="BH16" s="9">
        <v>42.763634955721997</v>
      </c>
      <c r="BI16" s="9">
        <v>29.656029639033399</v>
      </c>
      <c r="BJ16" s="9">
        <v>31.763096492305301</v>
      </c>
      <c r="BK16" s="9">
        <v>18.980485051298899</v>
      </c>
      <c r="BL16" s="9"/>
      <c r="BM16" s="9">
        <v>5.3358477661434902</v>
      </c>
      <c r="BN16" s="8">
        <v>3.4102585810985699</v>
      </c>
      <c r="BO16" s="16">
        <v>0.56701413824057401</v>
      </c>
      <c r="BP16" s="9">
        <v>0.74819828409219402</v>
      </c>
      <c r="BQ16" s="9">
        <v>0.99767981438514997</v>
      </c>
      <c r="BR16" s="9">
        <v>0.74795266803267402</v>
      </c>
      <c r="BS16" s="9">
        <v>0.48192834033835102</v>
      </c>
      <c r="BT16" s="9">
        <v>0.59851345963132896</v>
      </c>
      <c r="BU16" s="9">
        <v>0.712273889307382</v>
      </c>
      <c r="BV16" s="9">
        <v>0.70227012211515905</v>
      </c>
      <c r="BW16" s="9">
        <v>0.15889624024930299</v>
      </c>
      <c r="BX16" s="9">
        <v>1</v>
      </c>
      <c r="BY16" s="8">
        <v>0.96194470332401305</v>
      </c>
      <c r="BZ16" s="16">
        <v>-9.5343824693365793</v>
      </c>
      <c r="CA16" s="9">
        <v>-7.6929618782096902</v>
      </c>
      <c r="CB16" s="9">
        <v>-5.0384429474797798</v>
      </c>
      <c r="CC16" s="9">
        <v>51.718257388359703</v>
      </c>
      <c r="CD16" s="9">
        <v>18.495551674500199</v>
      </c>
      <c r="CE16" s="9">
        <v>19.963634106079599</v>
      </c>
      <c r="CF16" s="9">
        <v>15.4508285321917</v>
      </c>
      <c r="CG16" s="9">
        <v>-1.1922579785632901</v>
      </c>
      <c r="CH16" s="9">
        <v>-14.7104409149637</v>
      </c>
      <c r="CI16" s="8">
        <v>-14.2447697305535</v>
      </c>
      <c r="CJ16" s="16">
        <v>88.416753430972093</v>
      </c>
      <c r="CK16" s="9">
        <v>121.12580633987901</v>
      </c>
      <c r="CL16" s="9">
        <v>182.07634033698301</v>
      </c>
      <c r="CM16" s="9">
        <v>530.16429706178599</v>
      </c>
      <c r="CN16" s="9">
        <v>391.72670563765399</v>
      </c>
      <c r="CO16" s="9">
        <v>372.42650767530301</v>
      </c>
      <c r="CP16" s="9">
        <v>310.97065256829598</v>
      </c>
      <c r="CQ16" s="9"/>
      <c r="CR16" s="9">
        <v>121.49141937458801</v>
      </c>
      <c r="CS16" s="8">
        <v>103.507196548284</v>
      </c>
      <c r="CT16" s="16">
        <v>0.99970077797725898</v>
      </c>
      <c r="CU16" s="9">
        <v>0.99954407294832803</v>
      </c>
      <c r="CV16" s="9">
        <v>1</v>
      </c>
      <c r="CW16" s="9">
        <v>0.96816803811173602</v>
      </c>
      <c r="CX16" s="9">
        <v>0.91226163420679396</v>
      </c>
      <c r="CY16" s="9">
        <v>0.94108672167070495</v>
      </c>
      <c r="CZ16" s="9">
        <v>0.96912069998194394</v>
      </c>
      <c r="DA16" s="9">
        <v>0.96495173222818398</v>
      </c>
      <c r="DB16" s="9">
        <v>0.73875899752363405</v>
      </c>
      <c r="DC16" s="9">
        <v>1</v>
      </c>
      <c r="DD16" s="8">
        <v>1</v>
      </c>
      <c r="DE16" s="16">
        <v>-4.61982212108156</v>
      </c>
      <c r="DF16" s="9">
        <v>-0.88824206247708304</v>
      </c>
      <c r="DG16" s="9">
        <v>1.40291054874054</v>
      </c>
      <c r="DH16" s="9">
        <v>20.8640688374539</v>
      </c>
      <c r="DI16" s="9">
        <v>5.9722629378556897</v>
      </c>
      <c r="DJ16" s="9">
        <v>15.066342534333501</v>
      </c>
      <c r="DK16" s="9">
        <v>12.360484783396799</v>
      </c>
      <c r="DL16" s="9">
        <v>-1.4203495704004001</v>
      </c>
      <c r="DM16" s="9">
        <v>-2.0143212152493999</v>
      </c>
      <c r="DN16" s="8">
        <v>-6.4536524442044003</v>
      </c>
      <c r="DO16" s="9">
        <v>1078.1593359282499</v>
      </c>
      <c r="DP16" s="9">
        <v>1217.39750070061</v>
      </c>
      <c r="DQ16" s="9">
        <v>1321.58506381195</v>
      </c>
      <c r="DR16" s="9">
        <v>1902.48508704145</v>
      </c>
      <c r="DS16" s="9">
        <v>1610.0408078053699</v>
      </c>
      <c r="DT16" s="9">
        <v>1852.01901715605</v>
      </c>
      <c r="DU16" s="9">
        <v>1713.6369070877499</v>
      </c>
      <c r="DV16" s="9"/>
      <c r="DW16" s="9">
        <v>1227.7100232441301</v>
      </c>
      <c r="DX16" s="8">
        <v>1077.8450058823901</v>
      </c>
      <c r="DY16" s="16">
        <v>8.1517872476141395</v>
      </c>
      <c r="DZ16" s="9">
        <v>15.8960596087997</v>
      </c>
      <c r="EA16" s="9">
        <v>26.7146554654834</v>
      </c>
      <c r="EB16" s="9">
        <v>30.9872094123584</v>
      </c>
      <c r="EC16" s="9">
        <v>18.250288265744199</v>
      </c>
      <c r="ED16" s="3">
        <v>42.305761220352402</v>
      </c>
      <c r="EE16" s="8">
        <v>2721.5</v>
      </c>
    </row>
    <row r="17" spans="1:135" x14ac:dyDescent="0.2">
      <c r="A17" s="30"/>
      <c r="B17" s="3">
        <v>27</v>
      </c>
      <c r="C17" s="8" t="s">
        <v>124</v>
      </c>
      <c r="D17" s="9" t="s">
        <v>62</v>
      </c>
      <c r="E17" s="9" t="str">
        <f t="shared" si="0"/>
        <v>EMT_high</v>
      </c>
      <c r="F17" s="9" t="s">
        <v>63</v>
      </c>
      <c r="G17" s="9" t="s">
        <v>64</v>
      </c>
      <c r="H17" s="9">
        <v>1</v>
      </c>
      <c r="I17" s="9" t="s">
        <v>64</v>
      </c>
      <c r="J17" s="9" t="s">
        <v>65</v>
      </c>
      <c r="K17" s="9" t="s">
        <v>80</v>
      </c>
      <c r="L17" s="9">
        <v>-8.8999999999999999E-3</v>
      </c>
      <c r="M17" s="9">
        <v>73</v>
      </c>
      <c r="N17" s="9">
        <v>-0.14710000000000001</v>
      </c>
      <c r="O17" s="9">
        <v>-0.37869999999999998</v>
      </c>
      <c r="P17" s="9" t="s">
        <v>125</v>
      </c>
      <c r="Q17" s="9" t="s">
        <v>68</v>
      </c>
      <c r="R17" s="9">
        <v>20.455300000000001</v>
      </c>
      <c r="S17" s="9">
        <v>24.752800000000001</v>
      </c>
      <c r="T17" s="9" t="s">
        <v>73</v>
      </c>
      <c r="U17" s="3">
        <v>1.58</v>
      </c>
      <c r="V17" s="8">
        <v>0</v>
      </c>
      <c r="W17" s="3">
        <v>1863</v>
      </c>
      <c r="X17" s="16">
        <v>8137.3274173100599</v>
      </c>
      <c r="Y17" s="9">
        <v>47965.864904245798</v>
      </c>
      <c r="Z17" s="9">
        <v>1915881.34057797</v>
      </c>
      <c r="AA17" s="9">
        <v>41118.025709316302</v>
      </c>
      <c r="AB17" s="9">
        <v>72919.469872720496</v>
      </c>
      <c r="AC17" s="9">
        <v>73547.766830924404</v>
      </c>
      <c r="AD17" s="9">
        <v>559687.89045595995</v>
      </c>
      <c r="AE17" s="9">
        <v>195772.30620853999</v>
      </c>
      <c r="AF17" s="9">
        <v>589592.83105969196</v>
      </c>
      <c r="AG17" s="9">
        <v>9120.1863421226899</v>
      </c>
      <c r="AH17" s="9">
        <v>257171.29203796599</v>
      </c>
      <c r="AI17" s="8">
        <v>42468.877883400499</v>
      </c>
      <c r="AJ17" s="16">
        <v>1.8188930513322699E-2</v>
      </c>
      <c r="AK17" s="9">
        <v>0.14777865050380201</v>
      </c>
      <c r="AL17" s="9">
        <v>0.91051366950249701</v>
      </c>
      <c r="AM17" s="9">
        <v>4.6194692638796303E-2</v>
      </c>
      <c r="AN17" s="9">
        <v>0.101090127741103</v>
      </c>
      <c r="AO17" s="9">
        <v>8.1282383419689103E-2</v>
      </c>
      <c r="AP17" s="9">
        <v>0.386012810426346</v>
      </c>
      <c r="AQ17" s="9">
        <v>0.26208014725547002</v>
      </c>
      <c r="AR17" s="9">
        <v>2.9965424510180499E-2</v>
      </c>
      <c r="AS17" s="9">
        <v>0.48923661582926198</v>
      </c>
      <c r="AT17" s="8">
        <v>0.122552213346802</v>
      </c>
      <c r="AU17" s="16">
        <v>-3.19659798909455</v>
      </c>
      <c r="AV17" s="9">
        <v>-4.7955867305644997</v>
      </c>
      <c r="AW17" s="9">
        <v>-24.514119497896498</v>
      </c>
      <c r="AX17" s="9">
        <v>-1.28754407466779</v>
      </c>
      <c r="AY17" s="9">
        <v>0.98719600680161501</v>
      </c>
      <c r="AZ17" s="9">
        <v>0.77276690273304505</v>
      </c>
      <c r="BA17" s="9">
        <v>5.91592675975226</v>
      </c>
      <c r="BB17" s="9">
        <v>-3.7236874542125702</v>
      </c>
      <c r="BC17" s="9">
        <v>1.8130755234320299</v>
      </c>
      <c r="BD17" s="8">
        <v>-0.82546901056043898</v>
      </c>
      <c r="BE17" s="16"/>
      <c r="BF17" s="9">
        <v>9.4100364320131593</v>
      </c>
      <c r="BG17" s="9">
        <v>8.7216423182211908</v>
      </c>
      <c r="BH17" s="9">
        <v>16.9980314960629</v>
      </c>
      <c r="BI17" s="9">
        <v>15.4527559055118</v>
      </c>
      <c r="BJ17" s="9">
        <v>18.4266825137423</v>
      </c>
      <c r="BK17" s="9">
        <v>26.901766583592899</v>
      </c>
      <c r="BL17" s="9"/>
      <c r="BM17" s="9">
        <v>19.067232316566798</v>
      </c>
      <c r="BN17" s="8">
        <v>24.7244094488189</v>
      </c>
      <c r="BO17" s="16">
        <v>0.18249983221221699</v>
      </c>
      <c r="BP17" s="9">
        <v>0.73284846914275703</v>
      </c>
      <c r="BQ17" s="9">
        <v>1</v>
      </c>
      <c r="BR17" s="9">
        <v>0.24976943626234899</v>
      </c>
      <c r="BS17" s="9">
        <v>0.46142283578252002</v>
      </c>
      <c r="BT17" s="9">
        <v>0.47215025906735703</v>
      </c>
      <c r="BU17" s="9">
        <v>0.93388461383907295</v>
      </c>
      <c r="BV17" s="9">
        <v>0.63014821061134496</v>
      </c>
      <c r="BW17" s="9">
        <v>0.326930464848252</v>
      </c>
      <c r="BX17" s="9">
        <v>0.91705516705516699</v>
      </c>
      <c r="BY17" s="8">
        <v>0.59604680603176496</v>
      </c>
      <c r="BZ17" s="16">
        <v>-0.57394156422881704</v>
      </c>
      <c r="CA17" s="9">
        <v>-3.0295303575459598</v>
      </c>
      <c r="CB17" s="9">
        <v>-10.9741005817763</v>
      </c>
      <c r="CC17" s="9">
        <v>-4.3420362580772904</v>
      </c>
      <c r="CD17" s="9">
        <v>4.7051409114083897</v>
      </c>
      <c r="CE17" s="9">
        <v>4.7711030858944801</v>
      </c>
      <c r="CF17" s="9">
        <v>9.8195535988973006</v>
      </c>
      <c r="CG17" s="9">
        <v>-1.7044449536325701</v>
      </c>
      <c r="CH17" s="9">
        <v>1.12688808560488</v>
      </c>
      <c r="CI17" s="8">
        <v>0.83817761042055206</v>
      </c>
      <c r="CJ17" s="16"/>
      <c r="CK17" s="9">
        <v>150.74509343048501</v>
      </c>
      <c r="CL17" s="9">
        <v>154.30500674092801</v>
      </c>
      <c r="CM17" s="9">
        <v>142.165354330708</v>
      </c>
      <c r="CN17" s="9">
        <v>214.90368391451</v>
      </c>
      <c r="CO17" s="9">
        <v>225.31867478829199</v>
      </c>
      <c r="CP17" s="9">
        <v>210.75398846500201</v>
      </c>
      <c r="CQ17" s="9"/>
      <c r="CR17" s="9">
        <v>164.714109261517</v>
      </c>
      <c r="CS17" s="8">
        <v>253.17795275590501</v>
      </c>
      <c r="CT17" s="16">
        <v>0.80226430225511602</v>
      </c>
      <c r="CU17" s="9">
        <v>1</v>
      </c>
      <c r="CV17" s="9">
        <v>1</v>
      </c>
      <c r="CW17" s="9">
        <v>0.81139141304655504</v>
      </c>
      <c r="CX17" s="9">
        <v>0.76440092165898599</v>
      </c>
      <c r="CY17" s="9">
        <v>0.98996113989637302</v>
      </c>
      <c r="CZ17" s="9">
        <v>1</v>
      </c>
      <c r="DA17" s="9">
        <v>0.97381105398457501</v>
      </c>
      <c r="DB17" s="9">
        <v>0.99039569727237797</v>
      </c>
      <c r="DC17" s="9">
        <v>1</v>
      </c>
      <c r="DD17" s="8">
        <v>0.95246343341031503</v>
      </c>
      <c r="DE17" s="16">
        <v>-0.187863896791608</v>
      </c>
      <c r="DF17" s="9">
        <v>-0.64438999440903699</v>
      </c>
      <c r="DG17" s="9">
        <v>0.995003351565522</v>
      </c>
      <c r="DH17" s="9">
        <v>-2.4761162453371202</v>
      </c>
      <c r="DI17" s="9">
        <v>0.28093390126047801</v>
      </c>
      <c r="DJ17" s="9">
        <v>0.58414655369399104</v>
      </c>
      <c r="DK17" s="9">
        <v>3.78289686620026</v>
      </c>
      <c r="DL17" s="9">
        <v>-0.37540340878244</v>
      </c>
      <c r="DM17" s="9">
        <v>0.63753510200339802</v>
      </c>
      <c r="DN17" s="8">
        <v>0.88125734026805702</v>
      </c>
      <c r="DO17" s="9"/>
      <c r="DP17" s="9">
        <v>1140.64402397461</v>
      </c>
      <c r="DQ17" s="9">
        <v>1148.3010230696</v>
      </c>
      <c r="DR17" s="9">
        <v>1053.36286089238</v>
      </c>
      <c r="DS17" s="9">
        <v>1192.0697412823399</v>
      </c>
      <c r="DT17" s="9">
        <v>1233.8879809835</v>
      </c>
      <c r="DU17" s="9">
        <v>1152.92806716525</v>
      </c>
      <c r="DV17" s="9"/>
      <c r="DW17" s="9">
        <v>1110.3148741628099</v>
      </c>
      <c r="DX17" s="8">
        <v>1388.77007874015</v>
      </c>
      <c r="DY17" s="16">
        <v>11.5667838760638</v>
      </c>
      <c r="DZ17" s="9">
        <v>5.3427419354838701</v>
      </c>
      <c r="EA17" s="9">
        <v>46.339435866075497</v>
      </c>
      <c r="EB17" s="9">
        <v>5.1151709728379897</v>
      </c>
      <c r="EC17" s="9">
        <v>31.635867349538799</v>
      </c>
      <c r="ED17" s="3">
        <v>33.893013480540802</v>
      </c>
      <c r="EE17" s="8">
        <v>2707.5</v>
      </c>
    </row>
    <row r="18" spans="1:135" x14ac:dyDescent="0.2">
      <c r="A18" s="30"/>
      <c r="B18" s="3">
        <v>28</v>
      </c>
      <c r="C18" s="8" t="s">
        <v>126</v>
      </c>
      <c r="D18" s="9" t="s">
        <v>71</v>
      </c>
      <c r="E18" s="9" t="str">
        <f t="shared" si="0"/>
        <v>EMT_high</v>
      </c>
      <c r="F18" s="9" t="s">
        <v>72</v>
      </c>
      <c r="G18" s="9" t="s">
        <v>64</v>
      </c>
      <c r="H18" s="9">
        <v>1</v>
      </c>
      <c r="I18" s="9" t="s">
        <v>64</v>
      </c>
      <c r="J18" s="9" t="s">
        <v>65</v>
      </c>
      <c r="K18" s="9" t="s">
        <v>80</v>
      </c>
      <c r="L18" s="9">
        <v>-0.16969999999999999</v>
      </c>
      <c r="M18" s="9">
        <v>93.5</v>
      </c>
      <c r="N18" s="9">
        <v>-0.15740000000000001</v>
      </c>
      <c r="O18" s="9">
        <v>-0.50649999999999995</v>
      </c>
      <c r="P18" s="9" t="s">
        <v>127</v>
      </c>
      <c r="Q18" s="9" t="s">
        <v>68</v>
      </c>
      <c r="R18" s="9">
        <v>14.5847</v>
      </c>
      <c r="S18" s="9">
        <v>26.986699999999999</v>
      </c>
      <c r="T18" s="9" t="s">
        <v>73</v>
      </c>
      <c r="U18" s="3">
        <v>2.6</v>
      </c>
      <c r="V18" s="8">
        <v>0</v>
      </c>
      <c r="W18" s="3">
        <v>2918</v>
      </c>
      <c r="X18" s="16">
        <v>93491.746411374406</v>
      </c>
      <c r="Y18" s="9">
        <v>63149.821202201303</v>
      </c>
      <c r="Z18" s="9">
        <v>1263577.398145</v>
      </c>
      <c r="AA18" s="9">
        <v>192857.157393534</v>
      </c>
      <c r="AB18" s="9">
        <v>589105.53175637196</v>
      </c>
      <c r="AC18" s="9">
        <v>162119.515494411</v>
      </c>
      <c r="AD18" s="9">
        <v>750511.69312036596</v>
      </c>
      <c r="AE18" s="9">
        <v>346538.740840849</v>
      </c>
      <c r="AF18" s="9">
        <v>332014.215280412</v>
      </c>
      <c r="AG18" s="9"/>
      <c r="AH18" s="9">
        <v>153180.69779432399</v>
      </c>
      <c r="AI18" s="8">
        <v>67025.265291660093</v>
      </c>
      <c r="AJ18" s="16">
        <v>0.221237251320685</v>
      </c>
      <c r="AK18" s="9">
        <v>0.17845895105513301</v>
      </c>
      <c r="AL18" s="9">
        <v>0.668210971152147</v>
      </c>
      <c r="AM18" s="9">
        <v>0.13059307387018201</v>
      </c>
      <c r="AN18" s="9">
        <v>0.31452949442755102</v>
      </c>
      <c r="AO18" s="9">
        <v>0.10708684002798</v>
      </c>
      <c r="AP18" s="9">
        <v>0.456886437273686</v>
      </c>
      <c r="AQ18" s="9">
        <v>0.262789660280211</v>
      </c>
      <c r="AR18" s="9"/>
      <c r="AS18" s="9">
        <v>0.38471736946916002</v>
      </c>
      <c r="AT18" s="8">
        <v>0.233272243652862</v>
      </c>
      <c r="AU18" s="16">
        <v>-11.962100552120001</v>
      </c>
      <c r="AV18" s="9">
        <v>-5.0535716227515204</v>
      </c>
      <c r="AW18" s="9">
        <v>-33.203858319120499</v>
      </c>
      <c r="AX18" s="9">
        <v>1.70767062619683</v>
      </c>
      <c r="AY18" s="9">
        <v>0.81510019413929702</v>
      </c>
      <c r="AZ18" s="9">
        <v>-1.5667230023171601</v>
      </c>
      <c r="BA18" s="9">
        <v>0.78506080635502795</v>
      </c>
      <c r="BB18" s="9"/>
      <c r="BC18" s="9">
        <v>-4.4435464383068597</v>
      </c>
      <c r="BD18" s="8">
        <v>-2.54848324463847</v>
      </c>
      <c r="BE18" s="16">
        <v>5.1924869868685599</v>
      </c>
      <c r="BF18" s="9">
        <v>13.662618304080199</v>
      </c>
      <c r="BG18" s="9">
        <v>9.2513427747253605</v>
      </c>
      <c r="BH18" s="9">
        <v>27.1354635833125</v>
      </c>
      <c r="BI18" s="9">
        <v>25.163259494140299</v>
      </c>
      <c r="BJ18" s="9">
        <v>23.474854806408501</v>
      </c>
      <c r="BK18" s="9">
        <v>25.180562062233001</v>
      </c>
      <c r="BL18" s="9"/>
      <c r="BM18" s="9">
        <v>18.445262067725899</v>
      </c>
      <c r="BN18" s="8">
        <v>19.457556742323099</v>
      </c>
      <c r="BO18" s="16">
        <v>0.87788692255239598</v>
      </c>
      <c r="BP18" s="9">
        <v>0.85543823285394305</v>
      </c>
      <c r="BQ18" s="9">
        <v>0.98191573926868003</v>
      </c>
      <c r="BR18" s="9">
        <v>0.60045795459394802</v>
      </c>
      <c r="BS18" s="9">
        <v>0.78895061138088995</v>
      </c>
      <c r="BT18" s="9">
        <v>0.427713578927713</v>
      </c>
      <c r="BU18" s="9">
        <v>0.90244939974940197</v>
      </c>
      <c r="BV18" s="9">
        <v>0.790785334857108</v>
      </c>
      <c r="BW18" s="9"/>
      <c r="BX18" s="9">
        <v>0.980252776636796</v>
      </c>
      <c r="BY18" s="8">
        <v>0.92679326185767097</v>
      </c>
      <c r="BZ18" s="16">
        <v>-8.9569643422372298</v>
      </c>
      <c r="CA18" s="9">
        <v>-1.9165475092492099</v>
      </c>
      <c r="CB18" s="9">
        <v>-21.2214352241709</v>
      </c>
      <c r="CC18" s="9">
        <v>22.856870687548302</v>
      </c>
      <c r="CD18" s="9">
        <v>21.0468003329303</v>
      </c>
      <c r="CE18" s="9">
        <v>6.0135666014970504</v>
      </c>
      <c r="CF18" s="9">
        <v>14.2565538404127</v>
      </c>
      <c r="CG18" s="9"/>
      <c r="CH18" s="9">
        <v>3.6272208936010402</v>
      </c>
      <c r="CI18" s="8">
        <v>-0.94857604948074903</v>
      </c>
      <c r="CJ18" s="16">
        <v>145.24209156512401</v>
      </c>
      <c r="CK18" s="9">
        <v>208.949874116708</v>
      </c>
      <c r="CL18" s="9">
        <v>167.12304625177799</v>
      </c>
      <c r="CM18" s="9">
        <v>401.82960523738598</v>
      </c>
      <c r="CN18" s="9">
        <v>327.30509004598701</v>
      </c>
      <c r="CO18" s="9">
        <v>292.93712449933201</v>
      </c>
      <c r="CP18" s="9">
        <v>309.39562025642999</v>
      </c>
      <c r="CQ18" s="9"/>
      <c r="CR18" s="9">
        <v>258.06537168619002</v>
      </c>
      <c r="CS18" s="8">
        <v>219.81240654205601</v>
      </c>
      <c r="CT18" s="16">
        <v>1</v>
      </c>
      <c r="CU18" s="9">
        <v>1</v>
      </c>
      <c r="CV18" s="9">
        <v>1</v>
      </c>
      <c r="CW18" s="9">
        <v>0.99520441258054804</v>
      </c>
      <c r="CX18" s="9">
        <v>1</v>
      </c>
      <c r="CY18" s="9">
        <v>0.89841761039952905</v>
      </c>
      <c r="CZ18" s="9">
        <v>1</v>
      </c>
      <c r="DA18" s="9">
        <v>0.98214799884825799</v>
      </c>
      <c r="DB18" s="9"/>
      <c r="DC18" s="9">
        <v>1</v>
      </c>
      <c r="DD18" s="8">
        <v>1</v>
      </c>
      <c r="DE18" s="16">
        <v>-2.1792072898975698</v>
      </c>
      <c r="DF18" s="9">
        <v>2.06729920687838</v>
      </c>
      <c r="DG18" s="9">
        <v>-2.4393276636146202</v>
      </c>
      <c r="DH18" s="9">
        <v>5.5405258885582702</v>
      </c>
      <c r="DI18" s="9">
        <v>16.161853913805199</v>
      </c>
      <c r="DJ18" s="9">
        <v>8.9993327109502506</v>
      </c>
      <c r="DK18" s="9">
        <v>8.5782679946905596</v>
      </c>
      <c r="DL18" s="9"/>
      <c r="DM18" s="9">
        <v>5.7782766197798798</v>
      </c>
      <c r="DN18" s="8">
        <v>0.235952289234305</v>
      </c>
      <c r="DO18" s="9">
        <v>1343.03419998817</v>
      </c>
      <c r="DP18" s="9">
        <v>1559.7426931844</v>
      </c>
      <c r="DQ18" s="9">
        <v>1389.2078138417701</v>
      </c>
      <c r="DR18" s="9">
        <v>1631.7177051563201</v>
      </c>
      <c r="DS18" s="9">
        <v>1787.8146014500801</v>
      </c>
      <c r="DT18" s="9">
        <v>1785.8771211615399</v>
      </c>
      <c r="DU18" s="9">
        <v>1667.05314527674</v>
      </c>
      <c r="DV18" s="9"/>
      <c r="DW18" s="9">
        <v>1637.5246993521901</v>
      </c>
      <c r="DX18" s="8">
        <v>1429.5918841789</v>
      </c>
      <c r="DY18" s="16">
        <v>27.560809148121301</v>
      </c>
      <c r="DZ18" s="9">
        <v>6.8737687600521502</v>
      </c>
      <c r="EA18" s="9">
        <v>39.138747231621899</v>
      </c>
      <c r="EB18" s="9">
        <v>9.5629871427619708</v>
      </c>
      <c r="EC18" s="9">
        <v>16.863687717442499</v>
      </c>
      <c r="ED18" s="3">
        <v>52.628285356695798</v>
      </c>
      <c r="EE18" s="8">
        <v>3264</v>
      </c>
    </row>
    <row r="19" spans="1:135" x14ac:dyDescent="0.2">
      <c r="A19" s="30"/>
      <c r="B19" s="3">
        <v>33</v>
      </c>
      <c r="C19" s="8" t="s">
        <v>135</v>
      </c>
      <c r="D19" s="9" t="s">
        <v>62</v>
      </c>
      <c r="E19" s="9" t="str">
        <f t="shared" si="0"/>
        <v>EMT_high</v>
      </c>
      <c r="F19" s="9" t="s">
        <v>63</v>
      </c>
      <c r="G19" s="9" t="s">
        <v>91</v>
      </c>
      <c r="H19" s="9">
        <v>1</v>
      </c>
      <c r="I19" s="9" t="s">
        <v>64</v>
      </c>
      <c r="J19" s="9" t="s">
        <v>65</v>
      </c>
      <c r="K19" s="9" t="s">
        <v>80</v>
      </c>
      <c r="L19" s="9">
        <v>0.23150000000000001</v>
      </c>
      <c r="M19" s="9">
        <v>519</v>
      </c>
      <c r="N19" s="9">
        <v>-0.3483</v>
      </c>
      <c r="O19" s="9">
        <v>-0.38240000000000002</v>
      </c>
      <c r="P19" s="9" t="s">
        <v>136</v>
      </c>
      <c r="Q19" s="9" t="s">
        <v>68</v>
      </c>
      <c r="R19" s="9">
        <v>27.587399999999999</v>
      </c>
      <c r="S19" s="9">
        <v>45.886200000000002</v>
      </c>
      <c r="T19" s="9" t="s">
        <v>73</v>
      </c>
      <c r="U19" s="3">
        <v>0</v>
      </c>
      <c r="V19" s="8">
        <v>0</v>
      </c>
      <c r="W19" s="3">
        <v>2429</v>
      </c>
      <c r="X19" s="16">
        <v>521.17407140800503</v>
      </c>
      <c r="Y19" s="9">
        <v>23986.899148629702</v>
      </c>
      <c r="Z19" s="9">
        <v>49605.955436731798</v>
      </c>
      <c r="AA19" s="9">
        <v>165361.11260776201</v>
      </c>
      <c r="AB19" s="9">
        <v>665391.31583662098</v>
      </c>
      <c r="AC19" s="9">
        <v>537984.83077398897</v>
      </c>
      <c r="AD19" s="9">
        <v>1149064.95056636</v>
      </c>
      <c r="AE19" s="9">
        <v>537492.04234796902</v>
      </c>
      <c r="AF19" s="9">
        <v>101336.768930576</v>
      </c>
      <c r="AG19" s="9">
        <v>1784.65462233317</v>
      </c>
      <c r="AH19" s="9">
        <v>552316.59216819098</v>
      </c>
      <c r="AI19" s="8">
        <v>35082.888940134399</v>
      </c>
      <c r="AJ19" s="16">
        <v>8.3411531644248995E-3</v>
      </c>
      <c r="AK19" s="9">
        <v>0.163764162819974</v>
      </c>
      <c r="AL19" s="9">
        <v>0.201435053286905</v>
      </c>
      <c r="AM19" s="9">
        <v>0.145578525814482</v>
      </c>
      <c r="AN19" s="9">
        <v>0.53289473684210498</v>
      </c>
      <c r="AO19" s="9">
        <v>0.48074608904933802</v>
      </c>
      <c r="AP19" s="9">
        <v>0.72573212427530798</v>
      </c>
      <c r="AQ19" s="9">
        <v>0.11848847139197199</v>
      </c>
      <c r="AR19" s="9">
        <v>1.07414746063197E-2</v>
      </c>
      <c r="AS19" s="9">
        <v>0.96322803553800596</v>
      </c>
      <c r="AT19" s="8">
        <v>0.22902852331333501</v>
      </c>
      <c r="AU19" s="16">
        <v>-2.79694359682706</v>
      </c>
      <c r="AV19" s="9">
        <v>-7.55794005284665</v>
      </c>
      <c r="AW19" s="9">
        <v>-16.530342462711101</v>
      </c>
      <c r="AX19" s="9">
        <v>-27.517083653776801</v>
      </c>
      <c r="AY19" s="9">
        <v>-46.358615209400902</v>
      </c>
      <c r="AZ19" s="9">
        <v>-45.577229778648899</v>
      </c>
      <c r="BA19" s="9">
        <v>-12.432254608539999</v>
      </c>
      <c r="BB19" s="9">
        <v>-4.7551182488402404</v>
      </c>
      <c r="BC19" s="9">
        <v>-37.648422490196303</v>
      </c>
      <c r="BD19" s="8">
        <v>-7.0519946822022499</v>
      </c>
      <c r="BE19" s="16"/>
      <c r="BF19" s="9">
        <v>33.084186562639402</v>
      </c>
      <c r="BG19" s="9">
        <v>22.764179319970101</v>
      </c>
      <c r="BH19" s="9">
        <v>24.458293414708098</v>
      </c>
      <c r="BI19" s="9">
        <v>29.9450456999047</v>
      </c>
      <c r="BJ19" s="9">
        <v>27.7632554979796</v>
      </c>
      <c r="BK19" s="9">
        <v>35.818463208498102</v>
      </c>
      <c r="BL19" s="9"/>
      <c r="BM19" s="9">
        <v>33.259212358411503</v>
      </c>
      <c r="BN19" s="8">
        <v>37.178858581874401</v>
      </c>
      <c r="BO19" s="16">
        <v>8.6643728495464395E-2</v>
      </c>
      <c r="BP19" s="9">
        <v>0.925409148132606</v>
      </c>
      <c r="BQ19" s="9">
        <v>0.86556927297667996</v>
      </c>
      <c r="BR19" s="9">
        <v>0.58372118194609801</v>
      </c>
      <c r="BS19" s="9">
        <v>0.98758689175769598</v>
      </c>
      <c r="BT19" s="9">
        <v>0.95042117930204495</v>
      </c>
      <c r="BU19" s="9">
        <v>1</v>
      </c>
      <c r="BV19" s="9">
        <v>0.57589666951323604</v>
      </c>
      <c r="BW19" s="9">
        <v>0.10772760454687599</v>
      </c>
      <c r="BX19" s="9">
        <v>1</v>
      </c>
      <c r="BY19" s="8">
        <v>0.88127565519419004</v>
      </c>
      <c r="BZ19" s="16">
        <v>-2.1520841637055801</v>
      </c>
      <c r="CA19" s="9">
        <v>-1.7055392760325301</v>
      </c>
      <c r="CB19" s="9">
        <v>-0.14045482053425301</v>
      </c>
      <c r="CC19" s="9">
        <v>-9.4161009001256506</v>
      </c>
      <c r="CD19" s="9">
        <v>-2.93776081772255</v>
      </c>
      <c r="CE19" s="9">
        <v>-12.0164633171026</v>
      </c>
      <c r="CF19" s="9">
        <v>9.4521170520863897</v>
      </c>
      <c r="CG19" s="9">
        <v>-1.63311755991034</v>
      </c>
      <c r="CH19" s="9">
        <v>-10.2554644534403</v>
      </c>
      <c r="CI19" s="8">
        <v>0.86057088301775497</v>
      </c>
      <c r="CJ19" s="16"/>
      <c r="CK19" s="9">
        <v>496.04333451546103</v>
      </c>
      <c r="CL19" s="9">
        <v>524.38397863175805</v>
      </c>
      <c r="CM19" s="9">
        <v>459.68733761497498</v>
      </c>
      <c r="CN19" s="9">
        <v>516.56510335202199</v>
      </c>
      <c r="CO19" s="9">
        <v>483.531410538476</v>
      </c>
      <c r="CP19" s="9">
        <v>610.98146855857897</v>
      </c>
      <c r="CQ19" s="9"/>
      <c r="CR19" s="9">
        <v>491.553941277673</v>
      </c>
      <c r="CS19" s="8">
        <v>538.69328559725705</v>
      </c>
      <c r="CT19" s="16">
        <v>0.482431446147429</v>
      </c>
      <c r="CU19" s="9">
        <v>1</v>
      </c>
      <c r="CV19" s="9">
        <v>1</v>
      </c>
      <c r="CW19" s="9">
        <v>0.99588700075765701</v>
      </c>
      <c r="CX19" s="9">
        <v>1</v>
      </c>
      <c r="CY19" s="9">
        <v>1</v>
      </c>
      <c r="CZ19" s="9">
        <v>1</v>
      </c>
      <c r="DA19" s="9">
        <v>0.97395388556788998</v>
      </c>
      <c r="DB19" s="9">
        <v>0.58859109396183096</v>
      </c>
      <c r="DC19" s="9">
        <v>1</v>
      </c>
      <c r="DD19" s="8">
        <v>1</v>
      </c>
      <c r="DE19" s="16">
        <v>1.3451887897491199</v>
      </c>
      <c r="DF19" s="9">
        <v>2.6471109728876998</v>
      </c>
      <c r="DG19" s="9">
        <v>4.82518433377561</v>
      </c>
      <c r="DH19" s="9">
        <v>-1.2118180206601199</v>
      </c>
      <c r="DI19" s="9">
        <v>1.7456636589993201E-2</v>
      </c>
      <c r="DJ19" s="9">
        <v>2.6647398778880702</v>
      </c>
      <c r="DK19" s="9">
        <v>6.9957758631331997</v>
      </c>
      <c r="DL19" s="9">
        <v>1.1659407609285299</v>
      </c>
      <c r="DM19" s="9">
        <v>1.5494663992657001</v>
      </c>
      <c r="DN19" s="8">
        <v>-1.9659687918960202E-2</v>
      </c>
      <c r="DO19" s="9"/>
      <c r="DP19" s="9">
        <v>3856.4749407982699</v>
      </c>
      <c r="DQ19" s="9">
        <v>3946.8008999687099</v>
      </c>
      <c r="DR19" s="9">
        <v>3461.4488667053001</v>
      </c>
      <c r="DS19" s="9">
        <v>3520.0301055018299</v>
      </c>
      <c r="DT19" s="9">
        <v>3589.1840031677302</v>
      </c>
      <c r="DU19" s="9">
        <v>3952.67451345274</v>
      </c>
      <c r="DV19" s="9"/>
      <c r="DW19" s="9">
        <v>3556.10141830975</v>
      </c>
      <c r="DX19" s="8">
        <v>3519.7683788949898</v>
      </c>
      <c r="DY19" s="16">
        <v>24.533120510774101</v>
      </c>
      <c r="DZ19" s="9">
        <v>20.4788507581803</v>
      </c>
      <c r="EA19" s="9">
        <v>45.155626496408601</v>
      </c>
      <c r="EB19" s="9">
        <v>6.2410215482841096</v>
      </c>
      <c r="EC19" s="9">
        <v>3.5913806863527502</v>
      </c>
      <c r="ED19" s="3">
        <v>78.029642545771495</v>
      </c>
      <c r="EE19" s="8">
        <v>8029</v>
      </c>
    </row>
    <row r="20" spans="1:135" x14ac:dyDescent="0.2">
      <c r="A20" s="30"/>
      <c r="B20" s="3">
        <v>34</v>
      </c>
      <c r="C20" s="8" t="s">
        <v>137</v>
      </c>
      <c r="D20" s="9" t="s">
        <v>62</v>
      </c>
      <c r="E20" s="9" t="str">
        <f t="shared" si="0"/>
        <v>EMT_high</v>
      </c>
      <c r="F20" s="9" t="s">
        <v>63</v>
      </c>
      <c r="G20" s="9" t="s">
        <v>64</v>
      </c>
      <c r="H20" s="9">
        <v>1</v>
      </c>
      <c r="I20" s="9" t="s">
        <v>64</v>
      </c>
      <c r="J20" s="9" t="s">
        <v>65</v>
      </c>
      <c r="K20" s="9" t="s">
        <v>80</v>
      </c>
      <c r="L20" s="9">
        <v>0.42830000000000001</v>
      </c>
      <c r="M20" s="9">
        <v>728</v>
      </c>
      <c r="N20" s="9">
        <v>-0.25330000000000003</v>
      </c>
      <c r="O20" s="9">
        <v>-0.46310000000000001</v>
      </c>
      <c r="P20" s="9" t="s">
        <v>138</v>
      </c>
      <c r="Q20" s="9" t="s">
        <v>68</v>
      </c>
      <c r="R20" s="9">
        <v>19.601800000000001</v>
      </c>
      <c r="S20" s="9">
        <v>28.972899999999999</v>
      </c>
      <c r="T20" s="9" t="s">
        <v>73</v>
      </c>
      <c r="U20" s="3">
        <v>2.1</v>
      </c>
      <c r="V20" s="8">
        <v>0</v>
      </c>
      <c r="W20" s="3">
        <v>5474</v>
      </c>
      <c r="X20" s="16">
        <v>90432.201962879</v>
      </c>
      <c r="Y20" s="9">
        <v>78832.762939728898</v>
      </c>
      <c r="Z20" s="9">
        <v>1635447.71395242</v>
      </c>
      <c r="AA20" s="9">
        <v>26850.785404608599</v>
      </c>
      <c r="AB20" s="9">
        <v>6715.9922767123899</v>
      </c>
      <c r="AC20" s="9">
        <v>37364.886183417999</v>
      </c>
      <c r="AD20" s="9">
        <v>213016.13823681499</v>
      </c>
      <c r="AE20" s="9">
        <v>99941.842832583396</v>
      </c>
      <c r="AF20" s="9">
        <v>221557.852839361</v>
      </c>
      <c r="AG20" s="9">
        <v>14679.9961383518</v>
      </c>
      <c r="AH20" s="9">
        <v>729596.04837440501</v>
      </c>
      <c r="AI20" s="8">
        <v>694757.95655467606</v>
      </c>
      <c r="AJ20" s="16">
        <v>0.22878970647366301</v>
      </c>
      <c r="AK20" s="9">
        <v>0.148713826366559</v>
      </c>
      <c r="AL20" s="9">
        <v>0.96104815864022597</v>
      </c>
      <c r="AM20" s="9">
        <v>2.4842271293375299E-2</v>
      </c>
      <c r="AN20" s="9">
        <v>5.8962264150943001E-3</v>
      </c>
      <c r="AO20" s="9">
        <v>3.7638668779714703E-2</v>
      </c>
      <c r="AP20" s="9">
        <v>0.14967105263157801</v>
      </c>
      <c r="AQ20" s="9">
        <v>0.13625103220478901</v>
      </c>
      <c r="AR20" s="9">
        <v>4.8501577287066201E-2</v>
      </c>
      <c r="AS20" s="9">
        <v>0.80558229066410003</v>
      </c>
      <c r="AT20" s="8">
        <v>0.79874819451131396</v>
      </c>
      <c r="AU20" s="16">
        <v>-4.3146080219966096</v>
      </c>
      <c r="AV20" s="9">
        <v>-5.8150870196034701</v>
      </c>
      <c r="AW20" s="9">
        <v>-8.6116468425609902</v>
      </c>
      <c r="AX20" s="9">
        <v>4.5850031335726203E-2</v>
      </c>
      <c r="AY20" s="9">
        <v>-1.4025570391048101</v>
      </c>
      <c r="AZ20" s="9">
        <v>-2.3478034515292001</v>
      </c>
      <c r="BA20" s="9">
        <v>6.5877378311390302</v>
      </c>
      <c r="BB20" s="9">
        <v>-1.71095331633262</v>
      </c>
      <c r="BC20" s="9">
        <v>-10.780270519016</v>
      </c>
      <c r="BD20" s="8">
        <v>-10.7926133463795</v>
      </c>
      <c r="BE20" s="16">
        <v>5.1657971014492698</v>
      </c>
      <c r="BF20" s="9">
        <v>1.50095799557848</v>
      </c>
      <c r="BG20" s="9">
        <v>9.4798391112813594</v>
      </c>
      <c r="BH20" s="9"/>
      <c r="BI20" s="9"/>
      <c r="BJ20" s="9">
        <v>6.7379962192816603</v>
      </c>
      <c r="BK20" s="9">
        <v>27.2754086956521</v>
      </c>
      <c r="BL20" s="9"/>
      <c r="BM20" s="9">
        <v>5.0509316770186299</v>
      </c>
      <c r="BN20" s="8">
        <v>5.32281221091581</v>
      </c>
      <c r="BO20" s="16">
        <v>0.75673502211499799</v>
      </c>
      <c r="BP20" s="9">
        <v>0.827572347266881</v>
      </c>
      <c r="BQ20" s="9">
        <v>1</v>
      </c>
      <c r="BR20" s="9">
        <v>0.142744479495268</v>
      </c>
      <c r="BS20" s="9">
        <v>5.1100628930817599E-2</v>
      </c>
      <c r="BT20" s="9">
        <v>0.30863708399366002</v>
      </c>
      <c r="BU20" s="9">
        <v>0.58388157894736803</v>
      </c>
      <c r="BV20" s="9">
        <v>0.60363336085879404</v>
      </c>
      <c r="BW20" s="9">
        <v>0.45741324921135601</v>
      </c>
      <c r="BX20" s="9">
        <v>1</v>
      </c>
      <c r="BY20" s="8">
        <v>0.99518536350505504</v>
      </c>
      <c r="BZ20" s="16">
        <v>-8.6482318966147407</v>
      </c>
      <c r="CA20" s="9">
        <v>-8.7148616957279206</v>
      </c>
      <c r="CB20" s="9">
        <v>-0.31594768688991798</v>
      </c>
      <c r="CC20" s="9">
        <v>4.1745660327438996</v>
      </c>
      <c r="CD20" s="9">
        <v>-3.500130403565</v>
      </c>
      <c r="CE20" s="9">
        <v>10.4220888023165</v>
      </c>
      <c r="CF20" s="9">
        <v>25.9123712501132</v>
      </c>
      <c r="CG20" s="9">
        <v>-0.60941710915900604</v>
      </c>
      <c r="CH20" s="9">
        <v>-10.491147970489999</v>
      </c>
      <c r="CI20" s="8">
        <v>-12.181009057064401</v>
      </c>
      <c r="CJ20" s="16">
        <v>69.000289855072396</v>
      </c>
      <c r="CK20" s="9">
        <v>66.417391304347802</v>
      </c>
      <c r="CL20" s="9">
        <v>161.079241524612</v>
      </c>
      <c r="CM20" s="9"/>
      <c r="CN20" s="9"/>
      <c r="CO20" s="9">
        <v>327.27410207939499</v>
      </c>
      <c r="CP20" s="9">
        <v>369.63492173912999</v>
      </c>
      <c r="CQ20" s="9"/>
      <c r="CR20" s="9">
        <v>106.352795031055</v>
      </c>
      <c r="CS20" s="8">
        <v>95.669306197964801</v>
      </c>
      <c r="CT20" s="16">
        <v>1</v>
      </c>
      <c r="CU20" s="9">
        <v>1</v>
      </c>
      <c r="CV20" s="9">
        <v>1</v>
      </c>
      <c r="CW20" s="9">
        <v>0.43730283911671902</v>
      </c>
      <c r="CX20" s="9">
        <v>0.39937106918238902</v>
      </c>
      <c r="CY20" s="9">
        <v>1</v>
      </c>
      <c r="CZ20" s="9">
        <v>1</v>
      </c>
      <c r="DA20" s="9">
        <v>1</v>
      </c>
      <c r="DB20" s="9">
        <v>1</v>
      </c>
      <c r="DC20" s="9">
        <v>1</v>
      </c>
      <c r="DD20" s="8">
        <v>1</v>
      </c>
      <c r="DE20" s="16">
        <v>-1.7667759732522901</v>
      </c>
      <c r="DF20" s="9">
        <v>-2.8479988200516</v>
      </c>
      <c r="DG20" s="9">
        <v>2.5326893346734001</v>
      </c>
      <c r="DH20" s="9">
        <v>1.35474969962378</v>
      </c>
      <c r="DI20" s="9">
        <v>0.27764668414340099</v>
      </c>
      <c r="DJ20" s="9">
        <v>0.40352678002076697</v>
      </c>
      <c r="DK20" s="9">
        <v>6.2125616800466501</v>
      </c>
      <c r="DL20" s="9">
        <v>2.4762058235186801</v>
      </c>
      <c r="DM20" s="9">
        <v>3.9957313735789399</v>
      </c>
      <c r="DN20" s="8">
        <v>-1.75555271425315</v>
      </c>
      <c r="DO20" s="9">
        <v>932.42637681159397</v>
      </c>
      <c r="DP20" s="9">
        <v>880.68710390567401</v>
      </c>
      <c r="DQ20" s="9">
        <v>1070.03196322543</v>
      </c>
      <c r="DR20" s="9"/>
      <c r="DS20" s="9"/>
      <c r="DT20" s="9">
        <v>1034.7637051039601</v>
      </c>
      <c r="DU20" s="9">
        <v>1221.5486608695601</v>
      </c>
      <c r="DV20" s="9"/>
      <c r="DW20" s="9">
        <v>1113.3291925465801</v>
      </c>
      <c r="DX20" s="8">
        <v>964.55951896392196</v>
      </c>
      <c r="DY20" s="16">
        <v>1.08303249097472</v>
      </c>
      <c r="DZ20" s="9">
        <v>8.3032490974729196</v>
      </c>
      <c r="EA20" s="9">
        <v>41.5162454873646</v>
      </c>
      <c r="EB20" s="9">
        <v>3.9711191335740001</v>
      </c>
      <c r="EC20" s="9">
        <v>45.126353790613699</v>
      </c>
      <c r="ED20" s="3">
        <v>11.1648528819024</v>
      </c>
      <c r="EE20" s="8">
        <v>2481</v>
      </c>
    </row>
    <row r="21" spans="1:135" x14ac:dyDescent="0.2">
      <c r="A21" s="30"/>
      <c r="B21" s="3">
        <v>35</v>
      </c>
      <c r="C21" s="8" t="s">
        <v>139</v>
      </c>
      <c r="D21" s="9" t="s">
        <v>71</v>
      </c>
      <c r="E21" s="9" t="str">
        <f t="shared" si="0"/>
        <v>EMT_high</v>
      </c>
      <c r="F21" s="9" t="s">
        <v>63</v>
      </c>
      <c r="G21" s="9" t="s">
        <v>64</v>
      </c>
      <c r="H21" s="9">
        <v>0</v>
      </c>
      <c r="I21" s="9" t="s">
        <v>64</v>
      </c>
      <c r="J21" s="9" t="s">
        <v>77</v>
      </c>
      <c r="K21" s="9" t="s">
        <v>80</v>
      </c>
      <c r="L21" s="9">
        <v>-0.11409999999999999</v>
      </c>
      <c r="M21" s="9">
        <v>35</v>
      </c>
      <c r="N21" s="9">
        <v>-0.26019999999999999</v>
      </c>
      <c r="O21" s="9">
        <v>-0.58489999999999998</v>
      </c>
      <c r="P21" s="9" t="s">
        <v>140</v>
      </c>
      <c r="Q21" s="9" t="s">
        <v>68</v>
      </c>
      <c r="R21" s="9">
        <v>35.616900000000001</v>
      </c>
      <c r="S21" s="9">
        <v>19.6068</v>
      </c>
      <c r="T21" s="9" t="s">
        <v>69</v>
      </c>
      <c r="U21" s="3">
        <v>3.2</v>
      </c>
      <c r="V21" s="8">
        <v>1</v>
      </c>
      <c r="W21" s="3">
        <v>1341</v>
      </c>
      <c r="X21" s="16">
        <v>0</v>
      </c>
      <c r="Y21" s="9">
        <v>118964.28133466801</v>
      </c>
      <c r="Z21" s="9">
        <v>2373198.4515762301</v>
      </c>
      <c r="AA21" s="9">
        <v>39887.313152913201</v>
      </c>
      <c r="AB21" s="9">
        <v>230863.495323137</v>
      </c>
      <c r="AC21" s="9">
        <v>198896.49425113099</v>
      </c>
      <c r="AD21" s="9">
        <v>280515.47807375097</v>
      </c>
      <c r="AE21" s="9">
        <v>149000.56883437399</v>
      </c>
      <c r="AF21" s="9">
        <v>136578.66033710699</v>
      </c>
      <c r="AG21" s="9"/>
      <c r="AH21" s="9">
        <v>171332.073464096</v>
      </c>
      <c r="AI21" s="8">
        <v>23879.935506572201</v>
      </c>
      <c r="AJ21" s="16">
        <v>9.7526165556611998E-3</v>
      </c>
      <c r="AK21" s="9">
        <v>0.51929220938805598</v>
      </c>
      <c r="AL21" s="9">
        <v>0.74649766511007298</v>
      </c>
      <c r="AM21" s="9">
        <v>5.6875449964002803E-2</v>
      </c>
      <c r="AN21" s="9">
        <v>0.22208217796823701</v>
      </c>
      <c r="AO21" s="9">
        <v>0.197994987468671</v>
      </c>
      <c r="AP21" s="9">
        <v>0.30635245901639302</v>
      </c>
      <c r="AQ21" s="9">
        <v>0.17612234829797699</v>
      </c>
      <c r="AR21" s="9"/>
      <c r="AS21" s="9">
        <v>0.49352911896465901</v>
      </c>
      <c r="AT21" s="8">
        <v>0.148875059837242</v>
      </c>
      <c r="AU21" s="16">
        <v>-1.6046650684480599</v>
      </c>
      <c r="AV21" s="9">
        <v>-9.3140892616167701</v>
      </c>
      <c r="AW21" s="9">
        <v>-25.219723504179399</v>
      </c>
      <c r="AX21" s="9">
        <v>2.7912902604091698</v>
      </c>
      <c r="AY21" s="9">
        <v>-4.5777076769235601</v>
      </c>
      <c r="AZ21" s="9">
        <v>0.68123104658591904</v>
      </c>
      <c r="BA21" s="9">
        <v>-5.7014373851812996</v>
      </c>
      <c r="BB21" s="9"/>
      <c r="BC21" s="9">
        <v>-4.6766354097109</v>
      </c>
      <c r="BD21" s="8">
        <v>0.83346944047246296</v>
      </c>
      <c r="BE21" s="16"/>
      <c r="BF21" s="9">
        <v>7.7241746024073104</v>
      </c>
      <c r="BG21" s="9">
        <v>9.8089268196018597</v>
      </c>
      <c r="BH21" s="9">
        <v>34.631091866191198</v>
      </c>
      <c r="BI21" s="9">
        <v>18.3515059990578</v>
      </c>
      <c r="BJ21" s="9">
        <v>26.0427397596271</v>
      </c>
      <c r="BK21" s="9">
        <v>15.206300104565999</v>
      </c>
      <c r="BL21" s="9"/>
      <c r="BM21" s="9">
        <v>17.2566753557841</v>
      </c>
      <c r="BN21" s="8">
        <v>28.344962157048201</v>
      </c>
      <c r="BO21" s="16">
        <v>9.7526165556612698E-2</v>
      </c>
      <c r="BP21" s="9">
        <v>0.99188989923814197</v>
      </c>
      <c r="BQ21" s="9">
        <v>1</v>
      </c>
      <c r="BR21" s="9">
        <v>0.31605471562275</v>
      </c>
      <c r="BS21" s="9">
        <v>0.87043105621376304</v>
      </c>
      <c r="BT21" s="9">
        <v>0.837092731829573</v>
      </c>
      <c r="BU21" s="9">
        <v>0.91521516393442603</v>
      </c>
      <c r="BV21" s="9">
        <v>0.74790330537740501</v>
      </c>
      <c r="BW21" s="9"/>
      <c r="BX21" s="9">
        <v>0.99850671976107497</v>
      </c>
      <c r="BY21" s="8">
        <v>0.78410722833891799</v>
      </c>
      <c r="BZ21" s="16">
        <v>-1.9176631256339001</v>
      </c>
      <c r="CA21" s="9">
        <v>-2.6626601870571198</v>
      </c>
      <c r="CB21" s="9">
        <v>-4.7173027606493303</v>
      </c>
      <c r="CC21" s="9">
        <v>2.3776767182835599</v>
      </c>
      <c r="CD21" s="9">
        <v>8.5825948579174103</v>
      </c>
      <c r="CE21" s="9">
        <v>11.078206675026101</v>
      </c>
      <c r="CF21" s="9">
        <v>-0.27835133264328099</v>
      </c>
      <c r="CG21" s="9"/>
      <c r="CH21" s="9">
        <v>0.82374570168960604</v>
      </c>
      <c r="CI21" s="8">
        <v>-0.92654846141750002</v>
      </c>
      <c r="CJ21" s="16"/>
      <c r="CK21" s="9">
        <v>213.02460482428501</v>
      </c>
      <c r="CL21" s="9">
        <v>216.55250552284099</v>
      </c>
      <c r="CM21" s="9">
        <v>266.33808796060401</v>
      </c>
      <c r="CN21" s="9">
        <v>286.516528582116</v>
      </c>
      <c r="CO21" s="9">
        <v>306.77573890115201</v>
      </c>
      <c r="CP21" s="9">
        <v>231.209044963401</v>
      </c>
      <c r="CQ21" s="9"/>
      <c r="CR21" s="9">
        <v>239.14937649711101</v>
      </c>
      <c r="CS21" s="8">
        <v>217.80865657521201</v>
      </c>
      <c r="CT21" s="16">
        <v>0.64581351094196005</v>
      </c>
      <c r="CU21" s="9">
        <v>1</v>
      </c>
      <c r="CV21" s="9">
        <v>1</v>
      </c>
      <c r="CW21" s="9">
        <v>0.92056635469162396</v>
      </c>
      <c r="CX21" s="9">
        <v>1</v>
      </c>
      <c r="CY21" s="9">
        <v>1</v>
      </c>
      <c r="CZ21" s="9">
        <v>1</v>
      </c>
      <c r="DA21" s="9">
        <v>1</v>
      </c>
      <c r="DB21" s="9"/>
      <c r="DC21" s="9">
        <v>1</v>
      </c>
      <c r="DD21" s="8">
        <v>1</v>
      </c>
      <c r="DE21" s="16">
        <v>-0.34285051737496802</v>
      </c>
      <c r="DF21" s="9">
        <v>-3.3886670654912902E-2</v>
      </c>
      <c r="DG21" s="9">
        <v>2.1023836845399302</v>
      </c>
      <c r="DH21" s="9">
        <v>-3.0940893780144001</v>
      </c>
      <c r="DI21" s="9">
        <v>5.7172560831963697</v>
      </c>
      <c r="DJ21" s="9">
        <v>-0.102542683500023</v>
      </c>
      <c r="DK21" s="9">
        <v>-1.0601216749206499</v>
      </c>
      <c r="DL21" s="9"/>
      <c r="DM21" s="9">
        <v>-0.48340167138362</v>
      </c>
      <c r="DN21" s="8">
        <v>-0.98336100466301102</v>
      </c>
      <c r="DO21" s="9"/>
      <c r="DP21" s="9">
        <v>1563.4339198530399</v>
      </c>
      <c r="DQ21" s="9">
        <v>1616.4103244715</v>
      </c>
      <c r="DR21" s="9">
        <v>1298.48743419935</v>
      </c>
      <c r="DS21" s="9">
        <v>1794.1364404666199</v>
      </c>
      <c r="DT21" s="9">
        <v>1559.2768119941099</v>
      </c>
      <c r="DU21" s="9">
        <v>1516.59942488672</v>
      </c>
      <c r="DV21" s="9"/>
      <c r="DW21" s="9">
        <v>1544.4354128504999</v>
      </c>
      <c r="DX21" s="8">
        <v>1474.9325922421899</v>
      </c>
      <c r="DY21" s="16">
        <v>25.210970464134999</v>
      </c>
      <c r="DZ21" s="9">
        <v>22.151898734177198</v>
      </c>
      <c r="EA21" s="9">
        <v>31.856540084388101</v>
      </c>
      <c r="EB21" s="9">
        <v>4.1139240506329102</v>
      </c>
      <c r="EC21" s="9">
        <v>16.6666666666666</v>
      </c>
      <c r="ED21" s="3">
        <v>23.640897755610901</v>
      </c>
      <c r="EE21" s="8">
        <v>4010</v>
      </c>
    </row>
    <row r="22" spans="1:135" x14ac:dyDescent="0.2">
      <c r="A22" s="30"/>
      <c r="B22" s="3">
        <v>36</v>
      </c>
      <c r="C22" s="8" t="s">
        <v>141</v>
      </c>
      <c r="D22" s="9" t="s">
        <v>71</v>
      </c>
      <c r="E22" s="9" t="str">
        <f t="shared" si="0"/>
        <v>EMT_high</v>
      </c>
      <c r="F22" s="9" t="s">
        <v>63</v>
      </c>
      <c r="G22" s="9" t="s">
        <v>64</v>
      </c>
      <c r="H22" s="9">
        <v>1</v>
      </c>
      <c r="I22" s="9" t="s">
        <v>64</v>
      </c>
      <c r="J22" s="9" t="s">
        <v>77</v>
      </c>
      <c r="K22" s="9" t="s">
        <v>80</v>
      </c>
      <c r="L22" s="9">
        <v>0.11890000000000001</v>
      </c>
      <c r="M22" s="9">
        <v>96</v>
      </c>
      <c r="N22" s="9">
        <v>-0.35170000000000001</v>
      </c>
      <c r="O22" s="9">
        <v>0.25879999999999997</v>
      </c>
      <c r="P22" s="9" t="s">
        <v>142</v>
      </c>
      <c r="Q22" s="9" t="s">
        <v>68</v>
      </c>
      <c r="R22" s="9">
        <v>113.3857</v>
      </c>
      <c r="S22" s="9">
        <v>24.6919</v>
      </c>
      <c r="T22" s="9"/>
      <c r="U22" s="3"/>
      <c r="V22" s="8">
        <v>1</v>
      </c>
      <c r="W22" s="3">
        <v>2456</v>
      </c>
      <c r="X22" s="16">
        <v>1312.93336983586</v>
      </c>
      <c r="Y22" s="9">
        <v>31685.925207287299</v>
      </c>
      <c r="Z22" s="9">
        <v>187587.600613327</v>
      </c>
      <c r="AA22" s="9">
        <v>255559.790665418</v>
      </c>
      <c r="AB22" s="9">
        <v>78235.758017177504</v>
      </c>
      <c r="AC22" s="9">
        <v>409953.72763112502</v>
      </c>
      <c r="AD22" s="9">
        <v>1442559.1976739899</v>
      </c>
      <c r="AE22" s="9">
        <v>362422.33964499302</v>
      </c>
      <c r="AF22" s="9">
        <v>737757.58825870405</v>
      </c>
      <c r="AG22" s="9"/>
      <c r="AH22" s="9">
        <v>378257.78750802099</v>
      </c>
      <c r="AI22" s="8">
        <v>76707.9321503721</v>
      </c>
      <c r="AJ22" s="16">
        <v>5.6801423882284997E-3</v>
      </c>
      <c r="AK22" s="9">
        <v>0.123946232308644</v>
      </c>
      <c r="AL22" s="9">
        <v>0.28341431197641698</v>
      </c>
      <c r="AM22" s="9">
        <v>0.19234739790823599</v>
      </c>
      <c r="AN22" s="9">
        <v>5.89329630612846E-2</v>
      </c>
      <c r="AO22" s="9">
        <v>0.28715858233938302</v>
      </c>
      <c r="AP22" s="9">
        <v>0.65452614249011398</v>
      </c>
      <c r="AQ22" s="9">
        <v>0.41604666349707697</v>
      </c>
      <c r="AR22" s="9"/>
      <c r="AS22" s="9">
        <v>0.72450095589464802</v>
      </c>
      <c r="AT22" s="8">
        <v>0.27493984706339197</v>
      </c>
      <c r="AU22" s="16">
        <v>-2.9063859501471798</v>
      </c>
      <c r="AV22" s="9">
        <v>-5.6504331423467402</v>
      </c>
      <c r="AW22" s="9">
        <v>-28.497428786057299</v>
      </c>
      <c r="AX22" s="9">
        <v>-25.674883796720501</v>
      </c>
      <c r="AY22" s="9">
        <v>-9.3429248379129302</v>
      </c>
      <c r="AZ22" s="9">
        <v>-34.4923732183073</v>
      </c>
      <c r="BA22" s="9">
        <v>-48.617375194241497</v>
      </c>
      <c r="BB22" s="9"/>
      <c r="BC22" s="9">
        <v>-25.792028524252199</v>
      </c>
      <c r="BD22" s="8">
        <v>-11.4496881909136</v>
      </c>
      <c r="BE22" s="16"/>
      <c r="BF22" s="9">
        <v>22.3058644713307</v>
      </c>
      <c r="BG22" s="9">
        <v>9.2774518043014904</v>
      </c>
      <c r="BH22" s="9">
        <v>13.9006066341516</v>
      </c>
      <c r="BI22" s="9">
        <v>18.1859193388179</v>
      </c>
      <c r="BJ22" s="9">
        <v>13.4090365989427</v>
      </c>
      <c r="BK22" s="9">
        <v>13.4070386036549</v>
      </c>
      <c r="BL22" s="9"/>
      <c r="BM22" s="9">
        <v>17.300469038343699</v>
      </c>
      <c r="BN22" s="8">
        <v>16.448918355524199</v>
      </c>
      <c r="BO22" s="16">
        <v>6.49396836005907E-2</v>
      </c>
      <c r="BP22" s="9">
        <v>0.69387056593034602</v>
      </c>
      <c r="BQ22" s="9">
        <v>0.85587661718632901</v>
      </c>
      <c r="BR22" s="9">
        <v>0.74510431721200499</v>
      </c>
      <c r="BS22" s="9">
        <v>0.32518076428417197</v>
      </c>
      <c r="BT22" s="9">
        <v>0.81075767179011105</v>
      </c>
      <c r="BU22" s="9">
        <v>0.96345919610231401</v>
      </c>
      <c r="BV22" s="9">
        <v>0.93840252046105999</v>
      </c>
      <c r="BW22" s="9"/>
      <c r="BX22" s="9">
        <v>0.99888042991491199</v>
      </c>
      <c r="BY22" s="8">
        <v>0.89771625105083797</v>
      </c>
      <c r="BZ22" s="16">
        <v>-2.4456833166349998</v>
      </c>
      <c r="CA22" s="9">
        <v>-0.23812170570609301</v>
      </c>
      <c r="CB22" s="9">
        <v>-26.927296103901099</v>
      </c>
      <c r="CC22" s="9">
        <v>0.650504282502121</v>
      </c>
      <c r="CD22" s="9">
        <v>4.00805189601141</v>
      </c>
      <c r="CE22" s="9">
        <v>-6.8004110627856003</v>
      </c>
      <c r="CF22" s="9">
        <v>-7.4423635376796602</v>
      </c>
      <c r="CG22" s="9"/>
      <c r="CH22" s="9">
        <v>-21.892170928559501</v>
      </c>
      <c r="CI22" s="8">
        <v>-8.8863084989441905</v>
      </c>
      <c r="CJ22" s="16"/>
      <c r="CK22" s="9">
        <v>303.04588488063501</v>
      </c>
      <c r="CL22" s="9">
        <v>173.979713577572</v>
      </c>
      <c r="CM22" s="9">
        <v>299.55179872776398</v>
      </c>
      <c r="CN22" s="9">
        <v>324.87956346710098</v>
      </c>
      <c r="CO22" s="9">
        <v>270.455482324336</v>
      </c>
      <c r="CP22" s="9">
        <v>277.62885690319899</v>
      </c>
      <c r="CQ22" s="9"/>
      <c r="CR22" s="9">
        <v>225.79528037462299</v>
      </c>
      <c r="CS22" s="8">
        <v>228.070573255227</v>
      </c>
      <c r="CT22" s="16">
        <v>0.33414482064753998</v>
      </c>
      <c r="CU22" s="9">
        <v>0.99809466506217404</v>
      </c>
      <c r="CV22" s="9">
        <v>1</v>
      </c>
      <c r="CW22" s="9">
        <v>0.99636098981077104</v>
      </c>
      <c r="CX22" s="9">
        <v>0.91609693408985005</v>
      </c>
      <c r="CY22" s="9">
        <v>1</v>
      </c>
      <c r="CZ22" s="9">
        <v>1</v>
      </c>
      <c r="DA22" s="9">
        <v>1</v>
      </c>
      <c r="DB22" s="9"/>
      <c r="DC22" s="9">
        <v>1</v>
      </c>
      <c r="DD22" s="8">
        <v>1</v>
      </c>
      <c r="DE22" s="16">
        <v>-1.5267007588444299</v>
      </c>
      <c r="DF22" s="9">
        <v>0.86814773936959599</v>
      </c>
      <c r="DG22" s="9">
        <v>-11.759843270327</v>
      </c>
      <c r="DH22" s="9">
        <v>4.1791355557128602</v>
      </c>
      <c r="DI22" s="9">
        <v>0.726337085150216</v>
      </c>
      <c r="DJ22" s="9">
        <v>6.1238840681101001</v>
      </c>
      <c r="DK22" s="9">
        <v>8.4783954568418896</v>
      </c>
      <c r="DL22" s="9"/>
      <c r="DM22" s="9">
        <v>-9.6557804282252597</v>
      </c>
      <c r="DN22" s="8">
        <v>-4.5872777842154697</v>
      </c>
      <c r="DO22" s="9"/>
      <c r="DP22" s="9">
        <v>2046.6984700236601</v>
      </c>
      <c r="DQ22" s="9">
        <v>1630.5064008622001</v>
      </c>
      <c r="DR22" s="9">
        <v>2132.2843289008201</v>
      </c>
      <c r="DS22" s="9">
        <v>2034.5449382760601</v>
      </c>
      <c r="DT22" s="9">
        <v>2098.3430548695201</v>
      </c>
      <c r="DU22" s="9">
        <v>2110.6245146944998</v>
      </c>
      <c r="DV22" s="9"/>
      <c r="DW22" s="9">
        <v>1756.8802307870201</v>
      </c>
      <c r="DX22" s="8">
        <v>1755.3224585421401</v>
      </c>
      <c r="DY22" s="16">
        <v>2.2744852260611599</v>
      </c>
      <c r="DZ22" s="9">
        <v>13.605442561794</v>
      </c>
      <c r="EA22" s="9">
        <v>50.700686827352101</v>
      </c>
      <c r="EB22" s="9">
        <v>8.3431352841797093</v>
      </c>
      <c r="EC22" s="9">
        <v>25.076250100612899</v>
      </c>
      <c r="ED22" s="3">
        <v>80.541793254589194</v>
      </c>
      <c r="EE22" s="8">
        <v>4673</v>
      </c>
    </row>
    <row r="23" spans="1:135" x14ac:dyDescent="0.2">
      <c r="A23" s="30"/>
      <c r="B23" s="3">
        <v>39</v>
      </c>
      <c r="C23" s="8" t="s">
        <v>147</v>
      </c>
      <c r="D23" s="9" t="s">
        <v>71</v>
      </c>
      <c r="E23" s="9" t="str">
        <f t="shared" si="0"/>
        <v>EMT_high</v>
      </c>
      <c r="F23" s="9" t="s">
        <v>63</v>
      </c>
      <c r="G23" s="9" t="s">
        <v>64</v>
      </c>
      <c r="H23" s="9">
        <v>0</v>
      </c>
      <c r="I23" s="9" t="s">
        <v>91</v>
      </c>
      <c r="J23" s="9" t="s">
        <v>77</v>
      </c>
      <c r="K23" s="9" t="s">
        <v>66</v>
      </c>
      <c r="L23" s="9">
        <v>-0.34389999999999998</v>
      </c>
      <c r="M23" s="9">
        <v>2</v>
      </c>
      <c r="N23" s="9">
        <v>-4.5100000000000001E-2</v>
      </c>
      <c r="O23" s="9">
        <v>0.27839999999999998</v>
      </c>
      <c r="P23" s="9" t="s">
        <v>148</v>
      </c>
      <c r="Q23" s="9" t="s">
        <v>68</v>
      </c>
      <c r="R23" s="9">
        <v>79.450699999999998</v>
      </c>
      <c r="S23" s="9">
        <v>37.057699999999997</v>
      </c>
      <c r="T23" s="9" t="s">
        <v>73</v>
      </c>
      <c r="U23" s="3">
        <v>0.53</v>
      </c>
      <c r="V23" s="8">
        <v>1</v>
      </c>
      <c r="W23" s="3">
        <v>2420</v>
      </c>
      <c r="X23" s="16">
        <v>0</v>
      </c>
      <c r="Y23" s="9">
        <v>36483.869757188899</v>
      </c>
      <c r="Z23" s="9">
        <v>397447.32707078703</v>
      </c>
      <c r="AA23" s="9">
        <v>337614.67582844401</v>
      </c>
      <c r="AB23" s="9">
        <v>781809.90213940304</v>
      </c>
      <c r="AC23" s="9">
        <v>581543.59584564203</v>
      </c>
      <c r="AD23" s="9">
        <v>988362.47986012895</v>
      </c>
      <c r="AE23" s="9">
        <v>419266.76708991401</v>
      </c>
      <c r="AF23" s="9">
        <v>301191.01636946102</v>
      </c>
      <c r="AG23" s="9">
        <v>1289.6669168559099</v>
      </c>
      <c r="AH23" s="9">
        <v>44270.752586747098</v>
      </c>
      <c r="AI23" s="8">
        <v>0</v>
      </c>
      <c r="AJ23" s="16">
        <v>4.3041606886656996E-3</v>
      </c>
      <c r="AK23" s="9">
        <v>4.5902372762668599E-2</v>
      </c>
      <c r="AL23" s="9">
        <v>0.24510464381462499</v>
      </c>
      <c r="AM23" s="9">
        <v>0.23396154849109799</v>
      </c>
      <c r="AN23" s="9">
        <v>0.43929423282431501</v>
      </c>
      <c r="AO23" s="9">
        <v>0.328516518778949</v>
      </c>
      <c r="AP23" s="9">
        <v>0.58053689543840403</v>
      </c>
      <c r="AQ23" s="9">
        <v>0.13791121592358499</v>
      </c>
      <c r="AR23" s="9">
        <v>6.8920532672324501E-3</v>
      </c>
      <c r="AS23" s="9">
        <v>0.111685424585696</v>
      </c>
      <c r="AT23" s="8">
        <v>4.6392511168263399E-3</v>
      </c>
      <c r="AU23" s="16">
        <v>-1.47376306183606</v>
      </c>
      <c r="AV23" s="9">
        <v>-4.55498826798829</v>
      </c>
      <c r="AW23" s="9">
        <v>-14.989129491467001</v>
      </c>
      <c r="AX23" s="9">
        <v>-17.231720089941501</v>
      </c>
      <c r="AY23" s="9">
        <v>-22.463146794725599</v>
      </c>
      <c r="AZ23" s="9">
        <v>-18.036337567321301</v>
      </c>
      <c r="BA23" s="9">
        <v>-14.643901850706101</v>
      </c>
      <c r="BB23" s="9">
        <v>-1.4252431275075399</v>
      </c>
      <c r="BC23" s="9">
        <v>-5.0680392764397499</v>
      </c>
      <c r="BD23" s="8">
        <v>-2.3641174318119802</v>
      </c>
      <c r="BE23" s="16"/>
      <c r="BF23" s="9">
        <v>24.9738579350409</v>
      </c>
      <c r="BG23" s="9">
        <v>8.8241141693945</v>
      </c>
      <c r="BH23" s="9">
        <v>14.4176143179523</v>
      </c>
      <c r="BI23" s="9">
        <v>17.017906443829599</v>
      </c>
      <c r="BJ23" s="9">
        <v>20.4525449993411</v>
      </c>
      <c r="BK23" s="9">
        <v>9.5809212624787197</v>
      </c>
      <c r="BL23" s="9"/>
      <c r="BM23" s="9">
        <v>13.8483653900912</v>
      </c>
      <c r="BN23" s="8"/>
      <c r="BO23" s="16">
        <v>4.0650406504064998E-2</v>
      </c>
      <c r="BP23" s="9">
        <v>0.35918117696895402</v>
      </c>
      <c r="BQ23" s="9">
        <v>0.69303842329588305</v>
      </c>
      <c r="BR23" s="9">
        <v>0.83019225754450798</v>
      </c>
      <c r="BS23" s="9">
        <v>0.92693290792995398</v>
      </c>
      <c r="BT23" s="9">
        <v>0.779696914371376</v>
      </c>
      <c r="BU23" s="9">
        <v>0.96461673646575996</v>
      </c>
      <c r="BV23" s="9">
        <v>0.45292688011496401</v>
      </c>
      <c r="BW23" s="9">
        <v>6.6957320786933602E-2</v>
      </c>
      <c r="BX23" s="9">
        <v>0.58962976283879898</v>
      </c>
      <c r="BY23" s="8">
        <v>3.5983574074911297E-2</v>
      </c>
      <c r="BZ23" s="16">
        <v>-1.0287054672206899</v>
      </c>
      <c r="CA23" s="9">
        <v>-1.87055921801605</v>
      </c>
      <c r="CB23" s="9">
        <v>-10.381984089263099</v>
      </c>
      <c r="CC23" s="9">
        <v>3.72465397037548</v>
      </c>
      <c r="CD23" s="9">
        <v>7.1697894011939702</v>
      </c>
      <c r="CE23" s="9">
        <v>14.8631790986409</v>
      </c>
      <c r="CF23" s="9">
        <v>-7.7412785825625603</v>
      </c>
      <c r="CG23" s="9">
        <v>-0.81650591946991802</v>
      </c>
      <c r="CH23" s="9">
        <v>-1.9198303236340499</v>
      </c>
      <c r="CI23" s="8">
        <v>-2.5879584410733201</v>
      </c>
      <c r="CJ23" s="16"/>
      <c r="CK23" s="9">
        <v>333.75389490361698</v>
      </c>
      <c r="CL23" s="9">
        <v>147.171700404055</v>
      </c>
      <c r="CM23" s="9">
        <v>252.37048102997099</v>
      </c>
      <c r="CN23" s="9">
        <v>255.68190362277701</v>
      </c>
      <c r="CO23" s="9">
        <v>299.59310773692403</v>
      </c>
      <c r="CP23" s="9">
        <v>175.72896485955999</v>
      </c>
      <c r="CQ23" s="9"/>
      <c r="CR23" s="9">
        <v>212.04405216219499</v>
      </c>
      <c r="CS23" s="8"/>
      <c r="CT23" s="16">
        <v>0.36537541846006599</v>
      </c>
      <c r="CU23" s="9">
        <v>0.93485844147844599</v>
      </c>
      <c r="CV23" s="9">
        <v>0.971227741330834</v>
      </c>
      <c r="CW23" s="9">
        <v>1</v>
      </c>
      <c r="CX23" s="9">
        <v>1</v>
      </c>
      <c r="CY23" s="9">
        <v>0.99221496735308801</v>
      </c>
      <c r="CZ23" s="9">
        <v>1</v>
      </c>
      <c r="DA23" s="9">
        <v>0.90347199562292502</v>
      </c>
      <c r="DB23" s="9">
        <v>0.50793042032034397</v>
      </c>
      <c r="DC23" s="9">
        <v>0.92750271561394604</v>
      </c>
      <c r="DD23" s="8">
        <v>0.33410773130207899</v>
      </c>
      <c r="DE23" s="16">
        <v>0.74564173757430996</v>
      </c>
      <c r="DF23" s="9">
        <v>5.7171771695783302E-2</v>
      </c>
      <c r="DG23" s="9">
        <v>-4.7972107426099901</v>
      </c>
      <c r="DH23" s="9">
        <v>10.377644337114299</v>
      </c>
      <c r="DI23" s="9">
        <v>4.4842982948316799</v>
      </c>
      <c r="DJ23" s="9">
        <v>8.1143473694149595</v>
      </c>
      <c r="DK23" s="9">
        <v>-3.7235387860920799</v>
      </c>
      <c r="DL23" s="9">
        <v>1.61760498684131</v>
      </c>
      <c r="DM23" s="9">
        <v>-2.0994289346058701</v>
      </c>
      <c r="DN23" s="8">
        <v>-1.8599760107247001</v>
      </c>
      <c r="DO23" s="9"/>
      <c r="DP23" s="9">
        <v>2370.8199102191702</v>
      </c>
      <c r="DQ23" s="9">
        <v>1102.1875290681301</v>
      </c>
      <c r="DR23" s="9">
        <v>1622.3949085782599</v>
      </c>
      <c r="DS23" s="9">
        <v>1479.7504746986101</v>
      </c>
      <c r="DT23" s="9">
        <v>1544.7667391525399</v>
      </c>
      <c r="DU23" s="9">
        <v>1166.6534714542399</v>
      </c>
      <c r="DV23" s="9"/>
      <c r="DW23" s="9">
        <v>1289.6142558358599</v>
      </c>
      <c r="DX23" s="8"/>
      <c r="DY23" s="16">
        <v>27.011857831875499</v>
      </c>
      <c r="DZ23" s="9">
        <v>17.558113610103401</v>
      </c>
      <c r="EA23" s="9">
        <v>33.685171774803599</v>
      </c>
      <c r="EB23" s="9">
        <v>11.1018571533226</v>
      </c>
      <c r="EC23" s="9">
        <v>10.6429996298946</v>
      </c>
      <c r="ED23" s="3">
        <v>86.166237835508795</v>
      </c>
      <c r="EE23" s="8">
        <v>3296</v>
      </c>
    </row>
    <row r="24" spans="1:135" x14ac:dyDescent="0.2">
      <c r="A24" s="30"/>
      <c r="B24" s="3">
        <v>40</v>
      </c>
      <c r="C24" s="8" t="s">
        <v>149</v>
      </c>
      <c r="D24" s="9" t="s">
        <v>71</v>
      </c>
      <c r="E24" s="9" t="str">
        <f t="shared" si="0"/>
        <v>EMT_high</v>
      </c>
      <c r="F24" s="9" t="s">
        <v>63</v>
      </c>
      <c r="G24" s="9" t="s">
        <v>64</v>
      </c>
      <c r="H24" s="9">
        <v>1</v>
      </c>
      <c r="I24" s="9" t="s">
        <v>64</v>
      </c>
      <c r="J24" s="9" t="s">
        <v>65</v>
      </c>
      <c r="K24" s="9" t="s">
        <v>80</v>
      </c>
      <c r="L24" s="9">
        <v>-8.5999999999999993E-2</v>
      </c>
      <c r="M24" s="9">
        <v>258</v>
      </c>
      <c r="N24" s="9">
        <v>-0.47749999999999998</v>
      </c>
      <c r="O24" s="9">
        <v>-0.60799999999999998</v>
      </c>
      <c r="P24" s="9"/>
      <c r="Q24" s="9"/>
      <c r="R24" s="9"/>
      <c r="S24" s="9"/>
      <c r="T24" s="9"/>
      <c r="U24" s="3"/>
      <c r="V24" s="8">
        <v>0</v>
      </c>
      <c r="W24" s="3">
        <v>3255</v>
      </c>
      <c r="X24" s="16">
        <v>99491.672938779098</v>
      </c>
      <c r="Y24" s="9">
        <v>117798.772117694</v>
      </c>
      <c r="Z24" s="9">
        <v>1115087.4284280799</v>
      </c>
      <c r="AA24" s="9">
        <v>70256.891959578104</v>
      </c>
      <c r="AB24" s="9">
        <v>212203.908030183</v>
      </c>
      <c r="AC24" s="9">
        <v>422147.43227400503</v>
      </c>
      <c r="AD24" s="9">
        <v>523475.95833214</v>
      </c>
      <c r="AE24" s="9">
        <v>253615.771361953</v>
      </c>
      <c r="AF24" s="9">
        <v>658097.81691262103</v>
      </c>
      <c r="AG24" s="9">
        <v>9291.0658198658093</v>
      </c>
      <c r="AH24" s="9">
        <v>312392.34308328998</v>
      </c>
      <c r="AI24" s="8">
        <v>242533.03845165801</v>
      </c>
      <c r="AJ24" s="16">
        <v>0.13899891501931899</v>
      </c>
      <c r="AK24" s="9">
        <v>0.207661344295587</v>
      </c>
      <c r="AL24" s="9">
        <v>0.41255345152772499</v>
      </c>
      <c r="AM24" s="9">
        <v>5.15471487717249E-2</v>
      </c>
      <c r="AN24" s="9">
        <v>0.171065358814491</v>
      </c>
      <c r="AO24" s="9">
        <v>0.207653834213163</v>
      </c>
      <c r="AP24" s="9">
        <v>0.27259714516025901</v>
      </c>
      <c r="AQ24" s="9">
        <v>0.31569069641200997</v>
      </c>
      <c r="AR24" s="9">
        <v>1.7687074829931902E-2</v>
      </c>
      <c r="AS24" s="9">
        <v>0.57956981912192496</v>
      </c>
      <c r="AT24" s="8">
        <v>0.32528412685254998</v>
      </c>
      <c r="AU24" s="16">
        <v>-10.1150783414442</v>
      </c>
      <c r="AV24" s="9">
        <v>-10.7800419236479</v>
      </c>
      <c r="AW24" s="9">
        <v>-28.869535325423399</v>
      </c>
      <c r="AX24" s="9">
        <v>2.0414078091065502</v>
      </c>
      <c r="AY24" s="9">
        <v>-0.11047620357639699</v>
      </c>
      <c r="AZ24" s="9">
        <v>-5.7050933836486797</v>
      </c>
      <c r="BA24" s="9">
        <v>-0.83025402146438099</v>
      </c>
      <c r="BB24" s="9">
        <v>-3.4228382247323501</v>
      </c>
      <c r="BC24" s="9">
        <v>-9.8545035459433095</v>
      </c>
      <c r="BD24" s="8">
        <v>-14.7807853747388</v>
      </c>
      <c r="BE24" s="16">
        <v>1.00486495189791</v>
      </c>
      <c r="BF24" s="9">
        <v>2.6912612235768401</v>
      </c>
      <c r="BG24" s="9">
        <v>2.9903074474365599</v>
      </c>
      <c r="BH24" s="9">
        <v>23.406994047619001</v>
      </c>
      <c r="BI24" s="9">
        <v>18.1828969989505</v>
      </c>
      <c r="BJ24" s="9">
        <v>13.2872077786711</v>
      </c>
      <c r="BK24" s="9">
        <v>27.663256009993201</v>
      </c>
      <c r="BL24" s="9"/>
      <c r="BM24" s="9">
        <v>9.0771130361628103</v>
      </c>
      <c r="BN24" s="8">
        <v>2.7268308397382701</v>
      </c>
      <c r="BO24" s="16">
        <v>0.48856847506929502</v>
      </c>
      <c r="BP24" s="9">
        <v>0.81677399814099805</v>
      </c>
      <c r="BQ24" s="9">
        <v>0.78651507607192195</v>
      </c>
      <c r="BR24" s="9">
        <v>0.31863891310210501</v>
      </c>
      <c r="BS24" s="9">
        <v>0.66604941387272998</v>
      </c>
      <c r="BT24" s="9">
        <v>0.69981702809672597</v>
      </c>
      <c r="BU24" s="9">
        <v>0.75686920836878602</v>
      </c>
      <c r="BV24" s="9">
        <v>0.68358283632048999</v>
      </c>
      <c r="BW24" s="9">
        <v>0.14047619047619</v>
      </c>
      <c r="BX24" s="9">
        <v>0.99776434514367096</v>
      </c>
      <c r="BY24" s="8">
        <v>0.91563788387119305</v>
      </c>
      <c r="BZ24" s="16">
        <v>-17.265533414091099</v>
      </c>
      <c r="CA24" s="9">
        <v>-8.2499843804444808</v>
      </c>
      <c r="CB24" s="9">
        <v>-30.130395439296102</v>
      </c>
      <c r="CC24" s="9">
        <v>14.714531232345101</v>
      </c>
      <c r="CD24" s="9">
        <v>13.7987066291379</v>
      </c>
      <c r="CE24" s="9">
        <v>10.924638320998699</v>
      </c>
      <c r="CF24" s="9">
        <v>19.222577379462901</v>
      </c>
      <c r="CG24" s="9">
        <v>-7.3379487424190097</v>
      </c>
      <c r="CH24" s="9">
        <v>-13.9291639458667</v>
      </c>
      <c r="CI24" s="8">
        <v>-21.366980169392502</v>
      </c>
      <c r="CJ24" s="16">
        <v>56.292093882918003</v>
      </c>
      <c r="CK24" s="9">
        <v>129.13734883937099</v>
      </c>
      <c r="CL24" s="9">
        <v>93.217421265966905</v>
      </c>
      <c r="CM24" s="9">
        <v>260.77976190476102</v>
      </c>
      <c r="CN24" s="9">
        <v>241.802124389917</v>
      </c>
      <c r="CO24" s="9">
        <v>205.33306347602701</v>
      </c>
      <c r="CP24" s="9">
        <v>274.44894759415803</v>
      </c>
      <c r="CQ24" s="9"/>
      <c r="CR24" s="9">
        <v>123.29026293709499</v>
      </c>
      <c r="CS24" s="8">
        <v>80.512203224849898</v>
      </c>
      <c r="CT24" s="16">
        <v>0.94953236216228798</v>
      </c>
      <c r="CU24" s="9">
        <v>1</v>
      </c>
      <c r="CV24" s="9">
        <v>1</v>
      </c>
      <c r="CW24" s="9">
        <v>0.82468211105129297</v>
      </c>
      <c r="CX24" s="9">
        <v>0.97422680412371099</v>
      </c>
      <c r="CY24" s="9">
        <v>0.99266010642034996</v>
      </c>
      <c r="CZ24" s="9">
        <v>1</v>
      </c>
      <c r="DA24" s="9">
        <v>1</v>
      </c>
      <c r="DB24" s="9">
        <v>0.51394557823129206</v>
      </c>
      <c r="DC24" s="9">
        <v>1</v>
      </c>
      <c r="DD24" s="8">
        <v>1</v>
      </c>
      <c r="DE24" s="16">
        <v>-9.0333890588834898</v>
      </c>
      <c r="DF24" s="9">
        <v>-0.32624216542513601</v>
      </c>
      <c r="DG24" s="9">
        <v>-17.7110002017764</v>
      </c>
      <c r="DH24" s="9">
        <v>5.9912363429545801</v>
      </c>
      <c r="DI24" s="9">
        <v>10.3021660729533</v>
      </c>
      <c r="DJ24" s="9">
        <v>10.9346429653491</v>
      </c>
      <c r="DK24" s="9">
        <v>11.0345683978199</v>
      </c>
      <c r="DL24" s="9">
        <v>-3.7139433598315299</v>
      </c>
      <c r="DM24" s="9">
        <v>-5.7141385370119</v>
      </c>
      <c r="DN24" s="8">
        <v>-9.7104207930750803</v>
      </c>
      <c r="DO24" s="9">
        <v>824.61388399146597</v>
      </c>
      <c r="DP24" s="9">
        <v>1135.7349420339101</v>
      </c>
      <c r="DQ24" s="9">
        <v>827.45806298554896</v>
      </c>
      <c r="DR24" s="9">
        <v>1237.4114583333301</v>
      </c>
      <c r="DS24" s="9">
        <v>1428.3018712985199</v>
      </c>
      <c r="DT24" s="9">
        <v>1377.57756003637</v>
      </c>
      <c r="DU24" s="9">
        <v>1369.76645142748</v>
      </c>
      <c r="DV24" s="9"/>
      <c r="DW24" s="9">
        <v>1025.6490570352501</v>
      </c>
      <c r="DX24" s="8">
        <v>899.29347616022903</v>
      </c>
      <c r="DY24" s="16">
        <v>13.6336574244598</v>
      </c>
      <c r="DZ24" s="9">
        <v>25.6129894707428</v>
      </c>
      <c r="EA24" s="9">
        <v>25.763498151981999</v>
      </c>
      <c r="EB24" s="9">
        <v>5.3514726988683199</v>
      </c>
      <c r="EC24" s="9">
        <v>29.638382253946801</v>
      </c>
      <c r="ED24" s="3">
        <v>49.755615457439902</v>
      </c>
      <c r="EE24" s="8">
        <v>2962</v>
      </c>
    </row>
    <row r="25" spans="1:135" x14ac:dyDescent="0.2">
      <c r="A25" s="30"/>
      <c r="B25" s="3">
        <v>43</v>
      </c>
      <c r="C25" s="8" t="s">
        <v>153</v>
      </c>
      <c r="D25" s="9" t="s">
        <v>71</v>
      </c>
      <c r="E25" s="9" t="str">
        <f t="shared" si="0"/>
        <v>EMT_high</v>
      </c>
      <c r="F25" s="9" t="s">
        <v>63</v>
      </c>
      <c r="G25" s="9" t="s">
        <v>64</v>
      </c>
      <c r="H25" s="9">
        <v>0</v>
      </c>
      <c r="I25" s="9" t="s">
        <v>64</v>
      </c>
      <c r="J25" s="9" t="s">
        <v>77</v>
      </c>
      <c r="K25" s="9" t="s">
        <v>80</v>
      </c>
      <c r="L25" s="9"/>
      <c r="M25" s="9"/>
      <c r="N25" s="9"/>
      <c r="O25" s="9"/>
      <c r="P25" s="9"/>
      <c r="Q25" s="9"/>
      <c r="R25" s="9"/>
      <c r="S25" s="9"/>
      <c r="T25" s="9" t="s">
        <v>73</v>
      </c>
      <c r="U25" s="3">
        <v>0.5</v>
      </c>
      <c r="V25" s="8">
        <v>1</v>
      </c>
      <c r="W25" s="3">
        <v>1076</v>
      </c>
      <c r="X25" s="16">
        <v>18246.3981339893</v>
      </c>
      <c r="Y25" s="9">
        <v>32812.9388777286</v>
      </c>
      <c r="Z25" s="9">
        <v>1610447.79713726</v>
      </c>
      <c r="AA25" s="9">
        <v>80710.108059051505</v>
      </c>
      <c r="AB25" s="9">
        <v>103123.591225991</v>
      </c>
      <c r="AC25" s="9">
        <v>47799.9097270907</v>
      </c>
      <c r="AD25" s="9">
        <v>832295.67769831198</v>
      </c>
      <c r="AE25" s="9">
        <v>262809.444987875</v>
      </c>
      <c r="AF25" s="9">
        <v>465258.13417044701</v>
      </c>
      <c r="AG25" s="9">
        <v>8200.4384986572095</v>
      </c>
      <c r="AH25" s="9">
        <v>225943.55570197501</v>
      </c>
      <c r="AI25" s="8">
        <v>162413.26189984201</v>
      </c>
      <c r="AJ25" s="16">
        <v>4.5323047251687502E-2</v>
      </c>
      <c r="AK25" s="9">
        <v>6.0586529165323803E-2</v>
      </c>
      <c r="AL25" s="9">
        <v>0.903781979977753</v>
      </c>
      <c r="AM25" s="9">
        <v>7.1545246651421104E-2</v>
      </c>
      <c r="AN25" s="9">
        <v>9.7336402499177896E-2</v>
      </c>
      <c r="AO25" s="9">
        <v>5.2393272962483799E-2</v>
      </c>
      <c r="AP25" s="9">
        <v>0.45640819606267502</v>
      </c>
      <c r="AQ25" s="9">
        <v>0.31157054769677101</v>
      </c>
      <c r="AR25" s="9">
        <v>2.1481243988457799E-2</v>
      </c>
      <c r="AS25" s="9">
        <v>0.46250424160162801</v>
      </c>
      <c r="AT25" s="8">
        <v>0.456587328193094</v>
      </c>
      <c r="AU25" s="16">
        <v>-4.7556936212299297</v>
      </c>
      <c r="AV25" s="9">
        <v>-3.6159410654119499</v>
      </c>
      <c r="AW25" s="9">
        <v>-28.367900959997598</v>
      </c>
      <c r="AX25" s="9">
        <v>-1.0700256350619901</v>
      </c>
      <c r="AY25" s="9">
        <v>-9.3742690385798007</v>
      </c>
      <c r="AZ25" s="9">
        <v>2.7788577225823698</v>
      </c>
      <c r="BA25" s="9">
        <v>-0.419617424667385</v>
      </c>
      <c r="BB25" s="9">
        <v>-0.37764018780228997</v>
      </c>
      <c r="BC25" s="9">
        <v>-1.47154193472091</v>
      </c>
      <c r="BD25" s="8">
        <v>-2.4991703162262802</v>
      </c>
      <c r="BE25" s="16"/>
      <c r="BF25" s="9">
        <v>9.60062893081761</v>
      </c>
      <c r="BG25" s="9">
        <v>9.4315356433625706</v>
      </c>
      <c r="BH25" s="9">
        <v>15.8870872641509</v>
      </c>
      <c r="BI25" s="9">
        <v>7.1924977538185004</v>
      </c>
      <c r="BJ25" s="9">
        <v>22.029350104821798</v>
      </c>
      <c r="BK25" s="9">
        <v>16.978260869565201</v>
      </c>
      <c r="BL25" s="9"/>
      <c r="BM25" s="9">
        <v>16.005229312415999</v>
      </c>
      <c r="BN25" s="8">
        <v>15.2201257861635</v>
      </c>
      <c r="BO25" s="16">
        <v>0.32433301189328101</v>
      </c>
      <c r="BP25" s="9">
        <v>0.44054141153722198</v>
      </c>
      <c r="BQ25" s="9">
        <v>1</v>
      </c>
      <c r="BR25" s="9">
        <v>0.45148644233910401</v>
      </c>
      <c r="BS25" s="9">
        <v>0.56297270634659602</v>
      </c>
      <c r="BT25" s="9">
        <v>0.28848641655886098</v>
      </c>
      <c r="BU25" s="9">
        <v>0.96263559662514997</v>
      </c>
      <c r="BV25" s="9">
        <v>0.93579978237214301</v>
      </c>
      <c r="BW25" s="9">
        <v>0.227637063161269</v>
      </c>
      <c r="BX25" s="9">
        <v>0.98914149983033595</v>
      </c>
      <c r="BY25" s="8">
        <v>0.99497150519611099</v>
      </c>
      <c r="BZ25" s="16">
        <v>-4.6325076144468103</v>
      </c>
      <c r="CA25" s="9">
        <v>-2.2893106244703598</v>
      </c>
      <c r="CB25" s="9">
        <v>-3.5069017748915101</v>
      </c>
      <c r="CC25" s="9">
        <v>5.5232319301308896</v>
      </c>
      <c r="CD25" s="9">
        <v>0.94021589629667601</v>
      </c>
      <c r="CE25" s="9">
        <v>6.0992545387674397</v>
      </c>
      <c r="CF25" s="9">
        <v>8.8601032076833093</v>
      </c>
      <c r="CG25" s="9">
        <v>2.0923499005112798</v>
      </c>
      <c r="CH25" s="9">
        <v>-0.36945060124226697</v>
      </c>
      <c r="CI25" s="8">
        <v>-4.9430237344998798</v>
      </c>
      <c r="CJ25" s="16"/>
      <c r="CK25" s="9">
        <v>148.921383647798</v>
      </c>
      <c r="CL25" s="9">
        <v>167.70958278236699</v>
      </c>
      <c r="CM25" s="9">
        <v>207.22287735849</v>
      </c>
      <c r="CN25" s="9">
        <v>177.707322551662</v>
      </c>
      <c r="CO25" s="9">
        <v>224.163522012578</v>
      </c>
      <c r="CP25" s="9">
        <v>196.611464315012</v>
      </c>
      <c r="CQ25" s="9"/>
      <c r="CR25" s="9">
        <v>171.42152498056601</v>
      </c>
      <c r="CS25" s="8">
        <v>152.65094339622601</v>
      </c>
      <c r="CT25" s="16">
        <v>0.95917711346833801</v>
      </c>
      <c r="CU25" s="9">
        <v>0.98968739929100802</v>
      </c>
      <c r="CV25" s="9">
        <v>1</v>
      </c>
      <c r="CW25" s="9">
        <v>1</v>
      </c>
      <c r="CX25" s="9">
        <v>0.981256165734955</v>
      </c>
      <c r="CY25" s="9">
        <v>0.94210866752910705</v>
      </c>
      <c r="CZ25" s="9">
        <v>1</v>
      </c>
      <c r="DA25" s="9">
        <v>1</v>
      </c>
      <c r="DB25" s="9">
        <v>0.90862455915357399</v>
      </c>
      <c r="DC25" s="9">
        <v>1</v>
      </c>
      <c r="DD25" s="8">
        <v>1</v>
      </c>
      <c r="DE25" s="16">
        <v>-2.4698964179624601</v>
      </c>
      <c r="DF25" s="9">
        <v>-0.87512559485983998</v>
      </c>
      <c r="DG25" s="9">
        <v>16.700419831787102</v>
      </c>
      <c r="DH25" s="9">
        <v>-2.19669873202941</v>
      </c>
      <c r="DI25" s="9">
        <v>-4.8232776746564099</v>
      </c>
      <c r="DJ25" s="9">
        <v>0.49142335282842697</v>
      </c>
      <c r="DK25" s="9">
        <v>4.1994139829197401</v>
      </c>
      <c r="DL25" s="9">
        <v>0.96156929680389902</v>
      </c>
      <c r="DM25" s="9">
        <v>-5.7860736365704399</v>
      </c>
      <c r="DN25" s="8">
        <v>-4.5832737262833803</v>
      </c>
      <c r="DO25" s="9"/>
      <c r="DP25" s="9">
        <v>1080.4056603773499</v>
      </c>
      <c r="DQ25" s="9">
        <v>1314.6183712255799</v>
      </c>
      <c r="DR25" s="9">
        <v>1052.3852201257801</v>
      </c>
      <c r="DS25" s="9">
        <v>969.64225816112605</v>
      </c>
      <c r="DT25" s="9">
        <v>1167.7044025157199</v>
      </c>
      <c r="DU25" s="9">
        <v>1215.6808517910799</v>
      </c>
      <c r="DV25" s="9"/>
      <c r="DW25" s="9">
        <v>996.35311992085303</v>
      </c>
      <c r="DX25" s="8">
        <v>1018.39937106918</v>
      </c>
      <c r="DY25" s="16">
        <v>7.0886075949366996</v>
      </c>
      <c r="DZ25" s="9">
        <v>2.7848101265822698</v>
      </c>
      <c r="EA25" s="9">
        <v>53.670886075949298</v>
      </c>
      <c r="EB25" s="9">
        <v>5.4008438818565399</v>
      </c>
      <c r="EC25" s="9">
        <v>31.054852320675099</v>
      </c>
      <c r="ED25" s="3">
        <v>41.231732776617903</v>
      </c>
      <c r="EE25" s="8">
        <v>2874</v>
      </c>
    </row>
    <row r="26" spans="1:135" x14ac:dyDescent="0.2">
      <c r="A26" s="30"/>
      <c r="B26" s="3">
        <v>45</v>
      </c>
      <c r="C26" s="8" t="s">
        <v>156</v>
      </c>
      <c r="D26" s="9" t="s">
        <v>71</v>
      </c>
      <c r="E26" s="9" t="str">
        <f t="shared" si="0"/>
        <v>EMT_high</v>
      </c>
      <c r="F26" s="9" t="s">
        <v>63</v>
      </c>
      <c r="G26" s="9" t="s">
        <v>64</v>
      </c>
      <c r="H26" s="9">
        <v>0</v>
      </c>
      <c r="I26" s="9" t="s">
        <v>64</v>
      </c>
      <c r="J26" s="9" t="s">
        <v>65</v>
      </c>
      <c r="K26" s="9" t="s">
        <v>66</v>
      </c>
      <c r="L26" s="9">
        <v>8.3000000000000001E-3</v>
      </c>
      <c r="M26" s="9">
        <v>130</v>
      </c>
      <c r="N26" s="9">
        <v>0.21340000000000001</v>
      </c>
      <c r="O26" s="9">
        <v>-0.50349999999999995</v>
      </c>
      <c r="P26" s="9" t="s">
        <v>157</v>
      </c>
      <c r="Q26" s="9" t="s">
        <v>68</v>
      </c>
      <c r="R26" s="9">
        <v>30.991499999999998</v>
      </c>
      <c r="S26" s="9">
        <v>36.656599999999997</v>
      </c>
      <c r="T26" s="9" t="s">
        <v>73</v>
      </c>
      <c r="U26" s="3">
        <v>0.5</v>
      </c>
      <c r="V26" s="8">
        <v>0</v>
      </c>
      <c r="W26" s="3">
        <v>1706</v>
      </c>
      <c r="X26" s="16">
        <v>29123.7830197562</v>
      </c>
      <c r="Y26" s="9">
        <v>51842.199715808398</v>
      </c>
      <c r="Z26" s="9">
        <v>854659.51186790597</v>
      </c>
      <c r="AA26" s="9">
        <v>128775.04494891599</v>
      </c>
      <c r="AB26" s="9">
        <v>66434.903342541598</v>
      </c>
      <c r="AC26" s="9">
        <v>122693.093653701</v>
      </c>
      <c r="AD26" s="9">
        <v>788466.906712953</v>
      </c>
      <c r="AE26" s="9">
        <v>235851.88564773899</v>
      </c>
      <c r="AF26" s="9">
        <v>585442.82195290097</v>
      </c>
      <c r="AG26" s="9">
        <v>7740.1770720593504</v>
      </c>
      <c r="AH26" s="9">
        <v>664950.18675544299</v>
      </c>
      <c r="AI26" s="8">
        <v>249427.19579653299</v>
      </c>
      <c r="AJ26" s="16">
        <v>0.10571367765605801</v>
      </c>
      <c r="AK26" s="9">
        <v>0.15603076752902501</v>
      </c>
      <c r="AL26" s="9">
        <v>0.49068637889250499</v>
      </c>
      <c r="AM26" s="9">
        <v>0.13540243356526099</v>
      </c>
      <c r="AN26" s="9">
        <v>9.5321385747934098E-2</v>
      </c>
      <c r="AO26" s="9">
        <v>0.12230743241487201</v>
      </c>
      <c r="AP26" s="9">
        <v>0.587059585390178</v>
      </c>
      <c r="AQ26" s="9">
        <v>0.46119902855470202</v>
      </c>
      <c r="AR26" s="9">
        <v>4.4862807931103497E-2</v>
      </c>
      <c r="AS26" s="9">
        <v>0.90969565826998</v>
      </c>
      <c r="AT26" s="8">
        <v>0.61829600441897503</v>
      </c>
      <c r="AU26" s="16">
        <v>-7.4512582490869699</v>
      </c>
      <c r="AV26" s="9">
        <v>-6.6965811294627997</v>
      </c>
      <c r="AW26" s="9">
        <v>-26.441103756207799</v>
      </c>
      <c r="AX26" s="9">
        <v>-0.89178371471728501</v>
      </c>
      <c r="AY26" s="9">
        <v>-10.240568669880901</v>
      </c>
      <c r="AZ26" s="9">
        <v>-11.8932443627035</v>
      </c>
      <c r="BA26" s="9">
        <v>-18.4298773578926</v>
      </c>
      <c r="BB26" s="9">
        <v>-2.2445646489164002</v>
      </c>
      <c r="BC26" s="9">
        <v>-8.5563995464082492</v>
      </c>
      <c r="BD26" s="8">
        <v>-2.0506434642723002</v>
      </c>
      <c r="BE26" s="16">
        <v>6.47360207072437</v>
      </c>
      <c r="BF26" s="9">
        <v>17.486893131293499</v>
      </c>
      <c r="BG26" s="9">
        <v>10.83810086786</v>
      </c>
      <c r="BH26" s="9">
        <v>34.785185407589601</v>
      </c>
      <c r="BI26" s="9">
        <v>18.315208921929301</v>
      </c>
      <c r="BJ26" s="9">
        <v>19.845527843037601</v>
      </c>
      <c r="BK26" s="9">
        <v>24.935962059354399</v>
      </c>
      <c r="BL26" s="9"/>
      <c r="BM26" s="9">
        <v>25.248551557148001</v>
      </c>
      <c r="BN26" s="8">
        <v>26.7843539858338</v>
      </c>
      <c r="BO26" s="16">
        <v>0.459854982394858</v>
      </c>
      <c r="BP26" s="9">
        <v>0.73672391616642396</v>
      </c>
      <c r="BQ26" s="9">
        <v>0.771141385612228</v>
      </c>
      <c r="BR26" s="9">
        <v>0.55725069011036898</v>
      </c>
      <c r="BS26" s="9">
        <v>0.426988162948719</v>
      </c>
      <c r="BT26" s="9">
        <v>0.50590876722439604</v>
      </c>
      <c r="BU26" s="9">
        <v>0.92629742695159101</v>
      </c>
      <c r="BV26" s="9">
        <v>0.88406074269372803</v>
      </c>
      <c r="BW26" s="9">
        <v>0.36731423993591</v>
      </c>
      <c r="BX26" s="9">
        <v>1</v>
      </c>
      <c r="BY26" s="8">
        <v>0.99456703443664296</v>
      </c>
      <c r="BZ26" s="16">
        <v>-5.0801544559514298</v>
      </c>
      <c r="CA26" s="9">
        <v>3.9156842832384502</v>
      </c>
      <c r="CB26" s="9">
        <v>-13.5246118841607</v>
      </c>
      <c r="CC26" s="9">
        <v>15.640567418609301</v>
      </c>
      <c r="CD26" s="9">
        <v>7.78385358333085</v>
      </c>
      <c r="CE26" s="9">
        <v>7.39015445556735</v>
      </c>
      <c r="CF26" s="9">
        <v>20.183733578556399</v>
      </c>
      <c r="CG26" s="9">
        <v>-2.1348844433164</v>
      </c>
      <c r="CH26" s="9">
        <v>1.2258364885669599</v>
      </c>
      <c r="CI26" s="8">
        <v>1.37370244201188</v>
      </c>
      <c r="CJ26" s="16">
        <v>192.49446157359799</v>
      </c>
      <c r="CK26" s="9">
        <v>333.27935449517503</v>
      </c>
      <c r="CL26" s="9">
        <v>247.656663622472</v>
      </c>
      <c r="CM26" s="9">
        <v>429.10988615595301</v>
      </c>
      <c r="CN26" s="9">
        <v>389.73196150671498</v>
      </c>
      <c r="CO26" s="9">
        <v>358.27196970491201</v>
      </c>
      <c r="CP26" s="9">
        <v>369.49752226283903</v>
      </c>
      <c r="CQ26" s="9"/>
      <c r="CR26" s="9">
        <v>302.26283774655502</v>
      </c>
      <c r="CS26" s="8">
        <v>301.491065184832</v>
      </c>
      <c r="CT26" s="16">
        <v>0.88409016123724904</v>
      </c>
      <c r="CU26" s="9">
        <v>0.98033847685415598</v>
      </c>
      <c r="CV26" s="9">
        <v>1</v>
      </c>
      <c r="CW26" s="9">
        <v>0.99877526025719499</v>
      </c>
      <c r="CX26" s="9">
        <v>0.98312540712835195</v>
      </c>
      <c r="CY26" s="9">
        <v>0.96332844734831302</v>
      </c>
      <c r="CZ26" s="9">
        <v>1</v>
      </c>
      <c r="DA26" s="9">
        <v>1</v>
      </c>
      <c r="DB26" s="9">
        <v>0.98297616663328602</v>
      </c>
      <c r="DC26" s="9">
        <v>1</v>
      </c>
      <c r="DD26" s="8">
        <v>1</v>
      </c>
      <c r="DE26" s="16">
        <v>-2.16100716418266</v>
      </c>
      <c r="DF26" s="9">
        <v>1.5186796499900701</v>
      </c>
      <c r="DG26" s="9">
        <v>-3.1474809898265201</v>
      </c>
      <c r="DH26" s="9">
        <v>4.8367283303581798</v>
      </c>
      <c r="DI26" s="9">
        <v>3.0189231492749502</v>
      </c>
      <c r="DJ26" s="9">
        <v>7.8694808484101904</v>
      </c>
      <c r="DK26" s="9">
        <v>9.3247363671174401</v>
      </c>
      <c r="DL26" s="9">
        <v>2.2574898852513599</v>
      </c>
      <c r="DM26" s="9">
        <v>2.2674823849657102</v>
      </c>
      <c r="DN26" s="8">
        <v>0.394345045191831</v>
      </c>
      <c r="DO26" s="9">
        <v>1623.5413193254899</v>
      </c>
      <c r="DP26" s="9">
        <v>2116.01299992752</v>
      </c>
      <c r="DQ26" s="9">
        <v>1897.72468672178</v>
      </c>
      <c r="DR26" s="9">
        <v>2286.0482740074999</v>
      </c>
      <c r="DS26" s="9">
        <v>2256.77772332834</v>
      </c>
      <c r="DT26" s="9">
        <v>2410.8645946331499</v>
      </c>
      <c r="DU26" s="9">
        <v>2194.43566543119</v>
      </c>
      <c r="DV26" s="9"/>
      <c r="DW26" s="9">
        <v>2020.5008690889399</v>
      </c>
      <c r="DX26" s="8">
        <v>2028.80254007399</v>
      </c>
      <c r="DY26" s="16">
        <v>3.8115864109416902</v>
      </c>
      <c r="DZ26" s="9">
        <v>6.1456705801653504</v>
      </c>
      <c r="EA26" s="9">
        <v>44.657594499951102</v>
      </c>
      <c r="EB26" s="9">
        <v>8.0441635671346905</v>
      </c>
      <c r="EC26" s="9">
        <v>37.3409849418071</v>
      </c>
      <c r="ED26" s="3">
        <v>46.638801173400701</v>
      </c>
      <c r="EE26" s="8">
        <v>5123</v>
      </c>
    </row>
    <row r="27" spans="1:135" x14ac:dyDescent="0.2">
      <c r="A27" s="30"/>
      <c r="B27" s="3">
        <v>49</v>
      </c>
      <c r="C27" s="8" t="s">
        <v>163</v>
      </c>
      <c r="D27" s="9" t="s">
        <v>62</v>
      </c>
      <c r="E27" s="9" t="str">
        <f t="shared" si="0"/>
        <v>EMT_high</v>
      </c>
      <c r="F27" s="9" t="s">
        <v>63</v>
      </c>
      <c r="G27" s="9" t="s">
        <v>64</v>
      </c>
      <c r="H27" s="9">
        <v>0</v>
      </c>
      <c r="I27" s="9" t="s">
        <v>64</v>
      </c>
      <c r="J27" s="9" t="s">
        <v>65</v>
      </c>
      <c r="K27" s="9" t="s">
        <v>80</v>
      </c>
      <c r="L27" s="9"/>
      <c r="M27" s="9"/>
      <c r="N27" s="9"/>
      <c r="O27" s="9"/>
      <c r="P27" s="9"/>
      <c r="Q27" s="9"/>
      <c r="R27" s="9"/>
      <c r="S27" s="9"/>
      <c r="T27" s="9" t="s">
        <v>69</v>
      </c>
      <c r="U27" s="3">
        <v>3.7</v>
      </c>
      <c r="V27" s="8">
        <v>0</v>
      </c>
      <c r="W27" s="3">
        <v>1122</v>
      </c>
      <c r="X27" s="16">
        <v>110838.220184163</v>
      </c>
      <c r="Y27" s="9">
        <v>62810.209641281603</v>
      </c>
      <c r="Z27" s="9">
        <v>1109094.6725304199</v>
      </c>
      <c r="AA27" s="9">
        <v>62632.726985150999</v>
      </c>
      <c r="AB27" s="9">
        <v>42868.8493730665</v>
      </c>
      <c r="AC27" s="9">
        <v>107768.23377083</v>
      </c>
      <c r="AD27" s="9">
        <v>784820.08515576005</v>
      </c>
      <c r="AE27" s="9">
        <v>88994.122107681498</v>
      </c>
      <c r="AF27" s="9">
        <v>1390938.65132462</v>
      </c>
      <c r="AG27" s="9">
        <v>20772.643516926499</v>
      </c>
      <c r="AH27" s="9">
        <v>298181.49094168801</v>
      </c>
      <c r="AI27" s="8">
        <v>212741.81922531099</v>
      </c>
      <c r="AJ27" s="16">
        <v>0.183301707779886</v>
      </c>
      <c r="AK27" s="9">
        <v>0.19556224144415099</v>
      </c>
      <c r="AL27" s="9">
        <v>0.48566878980891698</v>
      </c>
      <c r="AM27" s="9">
        <v>3.5087719298245598E-2</v>
      </c>
      <c r="AN27" s="9">
        <v>3.1622023809523801E-2</v>
      </c>
      <c r="AO27" s="9">
        <v>8.5908063300678197E-2</v>
      </c>
      <c r="AP27" s="9">
        <v>0.23912106850495399</v>
      </c>
      <c r="AQ27" s="9">
        <v>0.44355270197966801</v>
      </c>
      <c r="AR27" s="9">
        <v>6.8747677443329602E-2</v>
      </c>
      <c r="AS27" s="9">
        <v>0.66680080482897297</v>
      </c>
      <c r="AT27" s="8">
        <v>0.43564742589703498</v>
      </c>
      <c r="AU27" s="16">
        <v>-10.7876146924573</v>
      </c>
      <c r="AV27" s="9">
        <v>-5.0283974720131202</v>
      </c>
      <c r="AW27" s="9">
        <v>-36.067009581929398</v>
      </c>
      <c r="AX27" s="9">
        <v>7.4846360928074196</v>
      </c>
      <c r="AY27" s="9">
        <v>10.1084557420309</v>
      </c>
      <c r="AZ27" s="9">
        <v>9.4065164670331995</v>
      </c>
      <c r="BA27" s="9">
        <v>-5.2749951078282002</v>
      </c>
      <c r="BB27" s="9">
        <v>-3.33552126320722</v>
      </c>
      <c r="BC27" s="9">
        <v>-6.4420338054472799</v>
      </c>
      <c r="BD27" s="8">
        <v>-8.6126628821755897</v>
      </c>
      <c r="BE27" s="16">
        <v>1.6552245250431701</v>
      </c>
      <c r="BF27" s="9">
        <v>8.4708549222797895</v>
      </c>
      <c r="BG27" s="9">
        <v>1.2180824608565901</v>
      </c>
      <c r="BH27" s="9">
        <v>35.552553663952601</v>
      </c>
      <c r="BI27" s="9"/>
      <c r="BJ27" s="9">
        <v>33.861374523413801</v>
      </c>
      <c r="BK27" s="9">
        <v>14.991133589721301</v>
      </c>
      <c r="BL27" s="9"/>
      <c r="BM27" s="9">
        <v>11.8418288755076</v>
      </c>
      <c r="BN27" s="8">
        <v>8.1869270625747301</v>
      </c>
      <c r="BO27" s="16">
        <v>0.83111954459202997</v>
      </c>
      <c r="BP27" s="9">
        <v>0.85708913125234998</v>
      </c>
      <c r="BQ27" s="9">
        <v>0.99203821656050895</v>
      </c>
      <c r="BR27" s="9">
        <v>0.263531168346397</v>
      </c>
      <c r="BS27" s="9">
        <v>0.25483630952380898</v>
      </c>
      <c r="BT27" s="9">
        <v>0.40429540316503298</v>
      </c>
      <c r="BU27" s="9">
        <v>0.66652305040930604</v>
      </c>
      <c r="BV27" s="9">
        <v>0.79079721776350897</v>
      </c>
      <c r="BW27" s="9">
        <v>0.57896692679301298</v>
      </c>
      <c r="BX27" s="9">
        <v>1</v>
      </c>
      <c r="BY27" s="8">
        <v>0.997269890795631</v>
      </c>
      <c r="BZ27" s="16">
        <v>-9.5042674745515807</v>
      </c>
      <c r="CA27" s="9">
        <v>-3.7885479299024398</v>
      </c>
      <c r="CB27" s="9">
        <v>-38.4593933916357</v>
      </c>
      <c r="CC27" s="9">
        <v>36.7434653855466</v>
      </c>
      <c r="CD27" s="9">
        <v>22.826775935268302</v>
      </c>
      <c r="CE27" s="9">
        <v>27.322440081211901</v>
      </c>
      <c r="CF27" s="9">
        <v>20.802555952677899</v>
      </c>
      <c r="CG27" s="9">
        <v>-0.58156154934127402</v>
      </c>
      <c r="CH27" s="9">
        <v>-6.7976643632406999</v>
      </c>
      <c r="CI27" s="8">
        <v>-8.3984069406225093</v>
      </c>
      <c r="CJ27" s="16">
        <v>98.047711571675293</v>
      </c>
      <c r="CK27" s="9">
        <v>146.48737046632101</v>
      </c>
      <c r="CL27" s="9">
        <v>53.638218573524099</v>
      </c>
      <c r="CM27" s="9">
        <v>730.32957068837902</v>
      </c>
      <c r="CN27" s="9"/>
      <c r="CO27" s="9">
        <v>485.17000684328798</v>
      </c>
      <c r="CP27" s="9">
        <v>262.97225691567598</v>
      </c>
      <c r="CQ27" s="9"/>
      <c r="CR27" s="9">
        <v>150.50175045511801</v>
      </c>
      <c r="CS27" s="8">
        <v>129.225986448784</v>
      </c>
      <c r="CT27" s="16">
        <v>1</v>
      </c>
      <c r="CU27" s="9">
        <v>1</v>
      </c>
      <c r="CV27" s="9">
        <v>1</v>
      </c>
      <c r="CW27" s="9">
        <v>0.721911160880925</v>
      </c>
      <c r="CX27" s="9">
        <v>0.79241071428571397</v>
      </c>
      <c r="CY27" s="9">
        <v>0.85832705350414396</v>
      </c>
      <c r="CZ27" s="9">
        <v>0.93623438173201201</v>
      </c>
      <c r="DA27" s="9">
        <v>0.989834135901551</v>
      </c>
      <c r="DB27" s="9">
        <v>1</v>
      </c>
      <c r="DC27" s="9">
        <v>1</v>
      </c>
      <c r="DD27" s="8">
        <v>1</v>
      </c>
      <c r="DE27" s="16">
        <v>2.3435576527569202</v>
      </c>
      <c r="DF27" s="9">
        <v>-1.1757456374459401</v>
      </c>
      <c r="DG27" s="9">
        <v>-21.688231846313499</v>
      </c>
      <c r="DH27" s="9">
        <v>17.915607324655799</v>
      </c>
      <c r="DI27" s="9">
        <v>15.787352738233199</v>
      </c>
      <c r="DJ27" s="9">
        <v>20.9094898232083</v>
      </c>
      <c r="DK27" s="9">
        <v>41.0834238702083</v>
      </c>
      <c r="DL27" s="9">
        <v>1.5264256196756001</v>
      </c>
      <c r="DM27" s="9">
        <v>1.3880433081542001</v>
      </c>
      <c r="DN27" s="8">
        <v>-3.3044500964860299</v>
      </c>
      <c r="DO27" s="9">
        <v>1348.61852331606</v>
      </c>
      <c r="DP27" s="9">
        <v>1165.9109455958501</v>
      </c>
      <c r="DQ27" s="9">
        <v>816.89891021726396</v>
      </c>
      <c r="DR27" s="9">
        <v>2592.08160621761</v>
      </c>
      <c r="DS27" s="9"/>
      <c r="DT27" s="9">
        <v>2443.9711604262302</v>
      </c>
      <c r="DU27" s="9">
        <v>2013.38787762622</v>
      </c>
      <c r="DV27" s="9"/>
      <c r="DW27" s="9">
        <v>1275.72811931102</v>
      </c>
      <c r="DX27" s="8">
        <v>1115.8242327620501</v>
      </c>
      <c r="DY27" s="16">
        <v>1.43504531722054</v>
      </c>
      <c r="DZ27" s="9">
        <v>4.0030211480362503</v>
      </c>
      <c r="EA27" s="9">
        <v>29.154078549848901</v>
      </c>
      <c r="EB27" s="9">
        <v>2.1148036253776401</v>
      </c>
      <c r="EC27" s="9">
        <v>63.293051359516603</v>
      </c>
      <c r="ED27" s="3">
        <v>50</v>
      </c>
      <c r="EE27" s="8">
        <v>2648</v>
      </c>
    </row>
    <row r="28" spans="1:135" ht="17" customHeight="1" x14ac:dyDescent="0.2">
      <c r="A28" s="30"/>
      <c r="B28" s="3">
        <v>52</v>
      </c>
      <c r="C28" s="8" t="s">
        <v>167</v>
      </c>
      <c r="D28" s="9" t="s">
        <v>62</v>
      </c>
      <c r="E28" s="9" t="str">
        <f t="shared" si="0"/>
        <v>EMT_high</v>
      </c>
      <c r="F28" s="9" t="s">
        <v>72</v>
      </c>
      <c r="G28" s="9"/>
      <c r="H28" s="9">
        <v>1</v>
      </c>
      <c r="I28" s="9" t="s">
        <v>64</v>
      </c>
      <c r="J28" s="9" t="s">
        <v>65</v>
      </c>
      <c r="K28" s="9" t="s">
        <v>80</v>
      </c>
      <c r="L28" s="9">
        <v>3.1699999999999999E-2</v>
      </c>
      <c r="M28" s="9">
        <v>38</v>
      </c>
      <c r="N28" s="9">
        <v>-2.35E-2</v>
      </c>
      <c r="O28" s="9">
        <v>8.3000000000000001E-3</v>
      </c>
      <c r="P28" s="9" t="s">
        <v>168</v>
      </c>
      <c r="Q28" s="9" t="s">
        <v>68</v>
      </c>
      <c r="R28" s="9">
        <v>43.9497</v>
      </c>
      <c r="S28" s="9">
        <v>17.652999999999999</v>
      </c>
      <c r="T28" s="9" t="s">
        <v>73</v>
      </c>
      <c r="U28" s="3">
        <v>2.11</v>
      </c>
      <c r="V28" s="8">
        <v>0</v>
      </c>
      <c r="W28" s="3">
        <v>1217</v>
      </c>
      <c r="X28" s="16">
        <v>9162.9914165434202</v>
      </c>
      <c r="Y28" s="9">
        <v>62072.630413155202</v>
      </c>
      <c r="Z28" s="9">
        <v>148198.59640833599</v>
      </c>
      <c r="AA28" s="9">
        <v>19928.515515526498</v>
      </c>
      <c r="AB28" s="9">
        <v>57773.642383790597</v>
      </c>
      <c r="AC28" s="9">
        <v>437189.43612776999</v>
      </c>
      <c r="AD28" s="9">
        <v>1759903.16885018</v>
      </c>
      <c r="AE28" s="9">
        <v>370643.12802106002</v>
      </c>
      <c r="AF28" s="9">
        <v>672148.61564184702</v>
      </c>
      <c r="AG28" s="9">
        <v>18391.303714553</v>
      </c>
      <c r="AH28" s="9">
        <v>199406.38994493699</v>
      </c>
      <c r="AI28" s="8">
        <v>51651.761626230298</v>
      </c>
      <c r="AJ28" s="16">
        <v>1.3945119208277099E-2</v>
      </c>
      <c r="AK28" s="9">
        <v>0.184901131427849</v>
      </c>
      <c r="AL28" s="9">
        <v>0.24110305121188699</v>
      </c>
      <c r="AM28" s="9">
        <v>1.48148797726993E-2</v>
      </c>
      <c r="AN28" s="9">
        <v>2.9711969675398599E-2</v>
      </c>
      <c r="AO28" s="9">
        <v>0.292369147231618</v>
      </c>
      <c r="AP28" s="9">
        <v>0.74302248411229899</v>
      </c>
      <c r="AQ28" s="9">
        <v>0.417534923897179</v>
      </c>
      <c r="AR28" s="9">
        <v>6.3692439562346506E-2</v>
      </c>
      <c r="AS28" s="9">
        <v>0.52906283029795498</v>
      </c>
      <c r="AT28" s="8">
        <v>0.14604551808741201</v>
      </c>
      <c r="AU28" s="16">
        <v>-4.3271558963810399</v>
      </c>
      <c r="AV28" s="9">
        <v>-3.42724286440624</v>
      </c>
      <c r="AW28" s="9">
        <v>-6.7113568878591696</v>
      </c>
      <c r="AX28" s="9">
        <v>-2.2283557351521601</v>
      </c>
      <c r="AY28" s="9">
        <v>-5.8309106273578797</v>
      </c>
      <c r="AZ28" s="9">
        <v>-15.4184962976818</v>
      </c>
      <c r="BA28" s="9">
        <v>-16.847412754974201</v>
      </c>
      <c r="BB28" s="9">
        <v>-1.5355428261466799</v>
      </c>
      <c r="BC28" s="9">
        <v>-2.7473905923993001</v>
      </c>
      <c r="BD28" s="8">
        <v>-1.7252741425239899</v>
      </c>
      <c r="BE28" s="16"/>
      <c r="BF28" s="9">
        <v>13.9510628442938</v>
      </c>
      <c r="BG28" s="9">
        <v>12.579333806350199</v>
      </c>
      <c r="BH28" s="9"/>
      <c r="BI28" s="9">
        <v>9.7675438596491198</v>
      </c>
      <c r="BJ28" s="9">
        <v>11.6910261652119</v>
      </c>
      <c r="BK28" s="9">
        <v>12.5731781986733</v>
      </c>
      <c r="BL28" s="9"/>
      <c r="BM28" s="9">
        <v>17.437575602163701</v>
      </c>
      <c r="BN28" s="8">
        <v>16.659197095349398</v>
      </c>
      <c r="BO28" s="16">
        <v>0.19928025191182999</v>
      </c>
      <c r="BP28" s="9">
        <v>0.77922096780809402</v>
      </c>
      <c r="BQ28" s="9">
        <v>0.78172578612111498</v>
      </c>
      <c r="BR28" s="9">
        <v>0.109972464352736</v>
      </c>
      <c r="BS28" s="9">
        <v>0.17577650436598299</v>
      </c>
      <c r="BT28" s="9">
        <v>0.85963778114058498</v>
      </c>
      <c r="BU28" s="9">
        <v>0.99494107473252302</v>
      </c>
      <c r="BV28" s="9">
        <v>0.970675415193331</v>
      </c>
      <c r="BW28" s="9">
        <v>0.47091241890150398</v>
      </c>
      <c r="BX28" s="9">
        <v>0.94034330648873798</v>
      </c>
      <c r="BY28" s="8">
        <v>0.65704703012666898</v>
      </c>
      <c r="BZ28" s="16">
        <v>-1.6439148257076699</v>
      </c>
      <c r="CA28" s="9">
        <v>1.3556168791408401</v>
      </c>
      <c r="CB28" s="9">
        <v>2.1389692657708301</v>
      </c>
      <c r="CC28" s="9">
        <v>-1.7934312689649501</v>
      </c>
      <c r="CD28" s="9">
        <v>-1.29941731126121</v>
      </c>
      <c r="CE28" s="9">
        <v>-2.5811970995357001</v>
      </c>
      <c r="CF28" s="9">
        <v>8.5187128189125799E-2</v>
      </c>
      <c r="CG28" s="9">
        <v>1.1795679349604</v>
      </c>
      <c r="CH28" s="9">
        <v>1.8297807009696301</v>
      </c>
      <c r="CI28" s="8">
        <v>0.24271075530977901</v>
      </c>
      <c r="CJ28" s="16"/>
      <c r="CK28" s="9">
        <v>171.539672310969</v>
      </c>
      <c r="CL28" s="9">
        <v>170.01698511653501</v>
      </c>
      <c r="CM28" s="9"/>
      <c r="CN28" s="9">
        <v>137.428659060238</v>
      </c>
      <c r="CO28" s="9">
        <v>146.252104277954</v>
      </c>
      <c r="CP28" s="9">
        <v>156.87469478007401</v>
      </c>
      <c r="CQ28" s="9"/>
      <c r="CR28" s="9">
        <v>166.67333916139401</v>
      </c>
      <c r="CS28" s="8">
        <v>157.85598857848399</v>
      </c>
      <c r="CT28" s="16">
        <v>0.81331533963112901</v>
      </c>
      <c r="CU28" s="9">
        <v>0.96815495732107604</v>
      </c>
      <c r="CV28" s="9">
        <v>0.98208248816767996</v>
      </c>
      <c r="CW28" s="9">
        <v>0.53928112083530599</v>
      </c>
      <c r="CX28" s="9">
        <v>0.588964472997342</v>
      </c>
      <c r="CY28" s="9">
        <v>1</v>
      </c>
      <c r="CZ28" s="9">
        <v>1</v>
      </c>
      <c r="DA28" s="9">
        <v>1</v>
      </c>
      <c r="DB28" s="9">
        <v>0.865902399213903</v>
      </c>
      <c r="DC28" s="9">
        <v>1</v>
      </c>
      <c r="DD28" s="8">
        <v>0.97609087926509097</v>
      </c>
      <c r="DE28" s="16">
        <v>1.9657504282142599</v>
      </c>
      <c r="DF28" s="9">
        <v>2.7243877158310599</v>
      </c>
      <c r="DG28" s="9">
        <v>4.75377636064258</v>
      </c>
      <c r="DH28" s="9">
        <v>1.39972313952948</v>
      </c>
      <c r="DI28" s="9">
        <v>-4.1112967202013503E-2</v>
      </c>
      <c r="DJ28" s="9">
        <v>-0.37881436966972598</v>
      </c>
      <c r="DK28" s="9">
        <v>5.3094220614028398</v>
      </c>
      <c r="DL28" s="9">
        <v>1.58454222602161</v>
      </c>
      <c r="DM28" s="9">
        <v>3.5641623121086399</v>
      </c>
      <c r="DN28" s="8">
        <v>3.5266507667621001</v>
      </c>
      <c r="DO28" s="9"/>
      <c r="DP28" s="9">
        <v>843.895412471192</v>
      </c>
      <c r="DQ28" s="9">
        <v>860.32417695543404</v>
      </c>
      <c r="DR28" s="9"/>
      <c r="DS28" s="9">
        <v>835.50067476383197</v>
      </c>
      <c r="DT28" s="9">
        <v>730.78566844186901</v>
      </c>
      <c r="DU28" s="9">
        <v>779.66253315676204</v>
      </c>
      <c r="DV28" s="9"/>
      <c r="DW28" s="9">
        <v>797.29848620806195</v>
      </c>
      <c r="DX28" s="8">
        <v>913.60904141486606</v>
      </c>
      <c r="DY28" s="16">
        <v>1.38787325707672</v>
      </c>
      <c r="DZ28" s="9">
        <v>15.6087251194977</v>
      </c>
      <c r="EA28" s="9">
        <v>60.025623647475598</v>
      </c>
      <c r="EB28" s="9">
        <v>0.44568896498695998</v>
      </c>
      <c r="EC28" s="9">
        <v>22.5320890109628</v>
      </c>
      <c r="ED28" s="3">
        <v>86.458848565445706</v>
      </c>
      <c r="EE28" s="8">
        <v>1667</v>
      </c>
    </row>
    <row r="29" spans="1:135" s="2" customFormat="1" ht="17" thickBot="1" x14ac:dyDescent="0.25">
      <c r="A29" s="31"/>
      <c r="B29" s="4">
        <v>53</v>
      </c>
      <c r="C29" s="10" t="s">
        <v>169</v>
      </c>
      <c r="D29" s="11" t="s">
        <v>71</v>
      </c>
      <c r="E29" s="11" t="str">
        <f t="shared" si="0"/>
        <v>EMT_high</v>
      </c>
      <c r="F29" s="11" t="s">
        <v>63</v>
      </c>
      <c r="G29" s="11" t="s">
        <v>64</v>
      </c>
      <c r="H29" s="11">
        <v>0</v>
      </c>
      <c r="I29" s="11"/>
      <c r="J29" s="11" t="s">
        <v>77</v>
      </c>
      <c r="K29" s="11" t="s">
        <v>66</v>
      </c>
      <c r="L29" s="11">
        <v>-0.42580000000000001</v>
      </c>
      <c r="M29" s="11">
        <v>5</v>
      </c>
      <c r="N29" s="11">
        <v>-0.3725</v>
      </c>
      <c r="O29" s="11">
        <v>-0.48430000000000001</v>
      </c>
      <c r="P29" s="11" t="s">
        <v>170</v>
      </c>
      <c r="Q29" s="11" t="s">
        <v>68</v>
      </c>
      <c r="R29" s="11">
        <v>27.580100000000002</v>
      </c>
      <c r="S29" s="11">
        <v>19.632400000000001</v>
      </c>
      <c r="T29" s="11" t="s">
        <v>73</v>
      </c>
      <c r="U29" s="4">
        <v>0.5</v>
      </c>
      <c r="V29" s="10">
        <v>1</v>
      </c>
      <c r="W29" s="4">
        <v>3983</v>
      </c>
      <c r="X29" s="17">
        <v>185.56498983831099</v>
      </c>
      <c r="Y29" s="11">
        <v>215862.88834909201</v>
      </c>
      <c r="Z29" s="11">
        <v>735463.74261885101</v>
      </c>
      <c r="AA29" s="11">
        <v>1128363.7101324799</v>
      </c>
      <c r="AB29" s="11">
        <v>264616.92118840298</v>
      </c>
      <c r="AC29" s="11">
        <v>43035.880873035501</v>
      </c>
      <c r="AD29" s="11">
        <v>882782.48226697603</v>
      </c>
      <c r="AE29" s="11">
        <v>386916.46728494402</v>
      </c>
      <c r="AF29" s="11">
        <v>144474.151707326</v>
      </c>
      <c r="AG29" s="11">
        <v>3713.1368812948099</v>
      </c>
      <c r="AH29" s="11">
        <v>122007.784540906</v>
      </c>
      <c r="AI29" s="10">
        <v>22574.753168489598</v>
      </c>
      <c r="AJ29" s="17">
        <v>7.46850066654725E-3</v>
      </c>
      <c r="AK29" s="11">
        <v>0.31540851506050999</v>
      </c>
      <c r="AL29" s="11">
        <v>0.58404035036950697</v>
      </c>
      <c r="AM29" s="11">
        <v>0.511086389442995</v>
      </c>
      <c r="AN29" s="11">
        <v>0.21673914382253301</v>
      </c>
      <c r="AO29" s="11">
        <v>3.53495584534778E-2</v>
      </c>
      <c r="AP29" s="11">
        <v>0.452828351744681</v>
      </c>
      <c r="AQ29" s="11">
        <v>0.13044687176779601</v>
      </c>
      <c r="AR29" s="11">
        <v>2.3691068467187801E-2</v>
      </c>
      <c r="AS29" s="11">
        <v>0.32157239097919699</v>
      </c>
      <c r="AT29" s="10">
        <v>7.8331067856272293E-2</v>
      </c>
      <c r="AU29" s="17">
        <v>-2.2074888654250202</v>
      </c>
      <c r="AV29" s="11">
        <v>-14.3809805875325</v>
      </c>
      <c r="AW29" s="11">
        <v>-17.417094228324299</v>
      </c>
      <c r="AX29" s="11">
        <v>-19.2411504445991</v>
      </c>
      <c r="AY29" s="11">
        <v>-6.4537525071633404</v>
      </c>
      <c r="AZ29" s="11">
        <v>0.39405132493210399</v>
      </c>
      <c r="BA29" s="11">
        <v>-8.3086714424416197</v>
      </c>
      <c r="BB29" s="11">
        <v>-1.5463843492157201</v>
      </c>
      <c r="BC29" s="11">
        <v>-8.9331713852036199</v>
      </c>
      <c r="BD29" s="10">
        <v>-3.6751064638835702</v>
      </c>
      <c r="BE29" s="17"/>
      <c r="BF29" s="11">
        <v>9.5556445567244808</v>
      </c>
      <c r="BG29" s="11">
        <v>13.3266620922622</v>
      </c>
      <c r="BH29" s="11">
        <v>16.5355565882634</v>
      </c>
      <c r="BI29" s="11">
        <v>25.6884438089211</v>
      </c>
      <c r="BJ29" s="11">
        <v>27.352975355846102</v>
      </c>
      <c r="BK29" s="11">
        <v>16.0905554785414</v>
      </c>
      <c r="BL29" s="11"/>
      <c r="BM29" s="11">
        <v>15.4740756167278</v>
      </c>
      <c r="BN29" s="10">
        <v>15.8380655457818</v>
      </c>
      <c r="BO29" s="17">
        <v>8.3537976407210598E-2</v>
      </c>
      <c r="BP29" s="11">
        <v>0.91397675119522404</v>
      </c>
      <c r="BQ29" s="11">
        <v>0.95869783548099197</v>
      </c>
      <c r="BR29" s="11">
        <v>0.88398445092322597</v>
      </c>
      <c r="BS29" s="11">
        <v>0.74454152224046999</v>
      </c>
      <c r="BT29" s="11">
        <v>0.225543328826531</v>
      </c>
      <c r="BU29" s="11">
        <v>0.86494894116949805</v>
      </c>
      <c r="BV29" s="11">
        <v>0.56851839029224505</v>
      </c>
      <c r="BW29" s="11">
        <v>0.242596541104003</v>
      </c>
      <c r="BX29" s="11">
        <v>0.96395378776200602</v>
      </c>
      <c r="BY29" s="10">
        <v>0.44344090999314001</v>
      </c>
      <c r="BZ29" s="17">
        <v>-0.84772042134068504</v>
      </c>
      <c r="CA29" s="11">
        <v>-4.15494299337412</v>
      </c>
      <c r="CB29" s="11">
        <v>-9.52244578226688</v>
      </c>
      <c r="CC29" s="11">
        <v>8.9475200005935296</v>
      </c>
      <c r="CD29" s="11">
        <v>12.408019683481699</v>
      </c>
      <c r="CE29" s="11">
        <v>5.2807882241572699</v>
      </c>
      <c r="CF29" s="11">
        <v>2.1291636057588099</v>
      </c>
      <c r="CG29" s="11">
        <v>-1.5920047832158499</v>
      </c>
      <c r="CH29" s="11">
        <v>-2.7884293285718802</v>
      </c>
      <c r="CI29" s="10">
        <v>1.0282320220432</v>
      </c>
      <c r="CJ29" s="17"/>
      <c r="CK29" s="11">
        <v>189.98132207135001</v>
      </c>
      <c r="CL29" s="11">
        <v>187.84188651403599</v>
      </c>
      <c r="CM29" s="11">
        <v>256.41030637999398</v>
      </c>
      <c r="CN29" s="11">
        <v>326.50732100578</v>
      </c>
      <c r="CO29" s="11">
        <v>313.756567699127</v>
      </c>
      <c r="CP29" s="11">
        <v>264.57138973170998</v>
      </c>
      <c r="CQ29" s="11"/>
      <c r="CR29" s="11">
        <v>205.54286820947601</v>
      </c>
      <c r="CS29" s="10">
        <v>259.52473740860302</v>
      </c>
      <c r="CT29" s="17">
        <v>0.55099452026005202</v>
      </c>
      <c r="CU29" s="11">
        <v>1</v>
      </c>
      <c r="CV29" s="11">
        <v>1</v>
      </c>
      <c r="CW29" s="11">
        <v>0.99854227405247797</v>
      </c>
      <c r="CX29" s="11">
        <v>0.99965421853388603</v>
      </c>
      <c r="CY29" s="11">
        <v>0.82237794814712195</v>
      </c>
      <c r="CZ29" s="11">
        <v>1</v>
      </c>
      <c r="DA29" s="11">
        <v>0.95457604306863997</v>
      </c>
      <c r="DB29" s="11">
        <v>0.79886282871357495</v>
      </c>
      <c r="DC29" s="11">
        <v>1</v>
      </c>
      <c r="DD29" s="10">
        <v>0.91640389645304099</v>
      </c>
      <c r="DE29" s="17">
        <v>1.01612169154833</v>
      </c>
      <c r="DF29" s="11">
        <v>2.9082814386685598</v>
      </c>
      <c r="DG29" s="11">
        <v>3.4900521840398602</v>
      </c>
      <c r="DH29" s="11">
        <v>12.748315536612299</v>
      </c>
      <c r="DI29" s="11">
        <v>1.7662224404675699</v>
      </c>
      <c r="DJ29" s="11">
        <v>2.3123073663338101</v>
      </c>
      <c r="DK29" s="11">
        <v>6.5779618861679197</v>
      </c>
      <c r="DL29" s="11">
        <v>1.41910572505346</v>
      </c>
      <c r="DM29" s="11">
        <v>-1.0477033215775</v>
      </c>
      <c r="DN29" s="10">
        <v>1.9865656740822899</v>
      </c>
      <c r="DO29" s="11"/>
      <c r="DP29" s="11">
        <v>1397.36052948665</v>
      </c>
      <c r="DQ29" s="11">
        <v>1436.34047856399</v>
      </c>
      <c r="DR29" s="11">
        <v>1585.5690013206699</v>
      </c>
      <c r="DS29" s="11">
        <v>1422.5944083198499</v>
      </c>
      <c r="DT29" s="11">
        <v>1540.23401627052</v>
      </c>
      <c r="DU29" s="11">
        <v>1722.1299606953801</v>
      </c>
      <c r="DV29" s="11"/>
      <c r="DW29" s="11">
        <v>1384.7986901556801</v>
      </c>
      <c r="DX29" s="10">
        <v>1686.0483242400601</v>
      </c>
      <c r="DY29" s="17">
        <v>11.281697236333301</v>
      </c>
      <c r="DZ29" s="11">
        <v>1.4950518813928499</v>
      </c>
      <c r="EA29" s="11">
        <v>35.339396273261301</v>
      </c>
      <c r="EB29" s="11">
        <v>46.291438734941501</v>
      </c>
      <c r="EC29" s="11">
        <v>5.5924158740709</v>
      </c>
      <c r="ED29" s="4">
        <v>67.346692987807501</v>
      </c>
      <c r="EE29" s="10">
        <v>3220.5</v>
      </c>
    </row>
    <row r="30" spans="1:135" x14ac:dyDescent="0.2">
      <c r="A30" s="32" t="s">
        <v>174</v>
      </c>
      <c r="B30" s="5">
        <v>0</v>
      </c>
      <c r="C30" s="12" t="s">
        <v>61</v>
      </c>
      <c r="D30" s="13" t="s">
        <v>62</v>
      </c>
      <c r="E30" s="13" t="str">
        <f t="shared" si="0"/>
        <v>EMT_low</v>
      </c>
      <c r="F30" s="13" t="s">
        <v>63</v>
      </c>
      <c r="G30" s="13" t="s">
        <v>64</v>
      </c>
      <c r="H30" s="13">
        <v>1</v>
      </c>
      <c r="I30" s="13" t="s">
        <v>64</v>
      </c>
      <c r="J30" s="13" t="s">
        <v>65</v>
      </c>
      <c r="K30" s="13" t="s">
        <v>66</v>
      </c>
      <c r="L30" s="13">
        <v>-7.0800000000000002E-2</v>
      </c>
      <c r="M30" s="13">
        <v>332</v>
      </c>
      <c r="N30" s="13">
        <v>6.59E-2</v>
      </c>
      <c r="O30" s="13">
        <v>-0.43190000000000001</v>
      </c>
      <c r="P30" s="13" t="s">
        <v>67</v>
      </c>
      <c r="Q30" s="13" t="s">
        <v>68</v>
      </c>
      <c r="R30" s="13">
        <v>28.038900000000002</v>
      </c>
      <c r="S30" s="13">
        <v>29.602900000000002</v>
      </c>
      <c r="T30" s="13" t="s">
        <v>69</v>
      </c>
      <c r="U30" s="5">
        <v>6.8</v>
      </c>
      <c r="V30" s="12">
        <v>0</v>
      </c>
      <c r="W30" s="5">
        <v>1685</v>
      </c>
      <c r="X30" s="18">
        <v>66213.459788873704</v>
      </c>
      <c r="Y30" s="13">
        <v>89539.363281611993</v>
      </c>
      <c r="Z30" s="13">
        <v>559791.25262120599</v>
      </c>
      <c r="AA30" s="13">
        <v>1067449.5123479301</v>
      </c>
      <c r="AB30" s="13">
        <v>61806.424385402999</v>
      </c>
      <c r="AC30" s="13">
        <v>240069.39908694799</v>
      </c>
      <c r="AD30" s="13">
        <v>162335.88597774299</v>
      </c>
      <c r="AE30" s="13">
        <v>430807.79799954599</v>
      </c>
      <c r="AF30" s="13">
        <v>754060.083580871</v>
      </c>
      <c r="AG30" s="13">
        <v>2799.2132584901201</v>
      </c>
      <c r="AH30" s="13">
        <v>244425.00641057099</v>
      </c>
      <c r="AI30" s="12">
        <v>220415.542633623</v>
      </c>
      <c r="AJ30" s="18">
        <v>0.172391721783656</v>
      </c>
      <c r="AK30" s="13">
        <v>0.23930337561814599</v>
      </c>
      <c r="AL30" s="13">
        <v>0.29468366610536401</v>
      </c>
      <c r="AM30" s="13">
        <v>0.55615735461801596</v>
      </c>
      <c r="AN30" s="13">
        <v>6.38841567291311E-2</v>
      </c>
      <c r="AO30" s="13">
        <v>0.29679444070836097</v>
      </c>
      <c r="AP30" s="13">
        <v>0.15624314241825699</v>
      </c>
      <c r="AQ30" s="13">
        <v>0.480597797587834</v>
      </c>
      <c r="AR30" s="13">
        <v>9.4557680184911997E-3</v>
      </c>
      <c r="AS30" s="13">
        <v>0.65768194070080799</v>
      </c>
      <c r="AT30" s="12">
        <v>0.48781568453699597</v>
      </c>
      <c r="AU30" s="35">
        <v>-6.6676742627468597</v>
      </c>
      <c r="AV30" s="36">
        <v>-5.35714284877466</v>
      </c>
      <c r="AW30" s="36">
        <v>-19.7323732870837</v>
      </c>
      <c r="AX30" s="36">
        <v>-4.6617467342766004</v>
      </c>
      <c r="AY30" s="36">
        <v>3.9136447588409098</v>
      </c>
      <c r="AZ30" s="36">
        <v>-6.89228971779941</v>
      </c>
      <c r="BA30" s="36">
        <v>-19.891575343069199</v>
      </c>
      <c r="BB30" s="36">
        <v>-1.8215143544085299</v>
      </c>
      <c r="BC30" s="36">
        <v>-4.0846278715726303</v>
      </c>
      <c r="BD30" s="37">
        <v>-4.0103956647865804</v>
      </c>
      <c r="BE30" s="35">
        <v>7.43180487804878</v>
      </c>
      <c r="BF30" s="36">
        <v>14.436783124588001</v>
      </c>
      <c r="BG30" s="36">
        <v>4.1458415642007598</v>
      </c>
      <c r="BH30" s="36">
        <v>23.965200140039599</v>
      </c>
      <c r="BI30" s="36">
        <v>41.522394678492198</v>
      </c>
      <c r="BJ30" s="36">
        <v>16.9746373875698</v>
      </c>
      <c r="BK30" s="36">
        <v>9.2603581352269195</v>
      </c>
      <c r="BL30" s="36"/>
      <c r="BM30" s="36">
        <v>21.875877261998401</v>
      </c>
      <c r="BN30" s="37">
        <v>21.164162077104599</v>
      </c>
      <c r="BO30" s="18">
        <v>0.67868572647749004</v>
      </c>
      <c r="BP30" s="13">
        <v>0.79230273059556999</v>
      </c>
      <c r="BQ30" s="13">
        <v>0.75968246331488998</v>
      </c>
      <c r="BR30" s="13">
        <v>0.97320410490307796</v>
      </c>
      <c r="BS30" s="13">
        <v>0.34135434412265703</v>
      </c>
      <c r="BT30" s="13">
        <v>0.87110513337816597</v>
      </c>
      <c r="BU30" s="13">
        <v>0.59929778362957997</v>
      </c>
      <c r="BV30" s="13">
        <v>0.95201887781856298</v>
      </c>
      <c r="BW30" s="13">
        <v>9.9390628283252694E-2</v>
      </c>
      <c r="BX30" s="13">
        <v>0.99438454627133799</v>
      </c>
      <c r="BY30" s="12">
        <v>0.96167478954364205</v>
      </c>
      <c r="BZ30" s="18">
        <v>-11.2200515279243</v>
      </c>
      <c r="CA30" s="13">
        <v>-12.8768869224883</v>
      </c>
      <c r="CB30" s="13">
        <v>-28.397371340800699</v>
      </c>
      <c r="CC30" s="13">
        <v>11.572451421558901</v>
      </c>
      <c r="CD30" s="13">
        <v>11.5569989552206</v>
      </c>
      <c r="CE30" s="13">
        <v>9.5196899853240495</v>
      </c>
      <c r="CF30" s="13">
        <v>-17.249940368485898</v>
      </c>
      <c r="CG30" s="13">
        <v>-4.3270208906481198</v>
      </c>
      <c r="CH30" s="13">
        <v>-9.4947241724155598E-2</v>
      </c>
      <c r="CI30" s="12">
        <v>-7.3594045441100304</v>
      </c>
      <c r="CJ30" s="18">
        <v>123.863414634146</v>
      </c>
      <c r="CK30" s="13">
        <v>134.115622940013</v>
      </c>
      <c r="CL30" s="13">
        <v>86.218149566619601</v>
      </c>
      <c r="CM30" s="13">
        <v>348.01396895787099</v>
      </c>
      <c r="CN30" s="13">
        <v>443.02283813747198</v>
      </c>
      <c r="CO30" s="13">
        <v>354.38413418685599</v>
      </c>
      <c r="CP30" s="13">
        <v>174.01143871565299</v>
      </c>
      <c r="CQ30" s="13"/>
      <c r="CR30" s="13">
        <v>278.84251770259601</v>
      </c>
      <c r="CS30" s="12">
        <v>218.66512588512899</v>
      </c>
      <c r="CT30" s="18">
        <v>0.97930445914230801</v>
      </c>
      <c r="CU30" s="13">
        <v>1</v>
      </c>
      <c r="CV30" s="13">
        <v>1</v>
      </c>
      <c r="CW30" s="13">
        <v>1</v>
      </c>
      <c r="CX30" s="13">
        <v>0.94910562180579205</v>
      </c>
      <c r="CY30" s="13">
        <v>1</v>
      </c>
      <c r="CZ30" s="13">
        <v>0.99780557384243995</v>
      </c>
      <c r="DA30" s="13">
        <v>1</v>
      </c>
      <c r="DB30" s="13">
        <v>0.44820340407648601</v>
      </c>
      <c r="DC30" s="13">
        <v>1</v>
      </c>
      <c r="DD30" s="12">
        <v>1</v>
      </c>
      <c r="DE30" s="18">
        <v>-10.012990285161701</v>
      </c>
      <c r="DF30" s="13">
        <v>-8.1694498035772494</v>
      </c>
      <c r="DG30" s="13">
        <v>-19.589222840219499</v>
      </c>
      <c r="DH30" s="13">
        <v>-3.1425219632120802</v>
      </c>
      <c r="DI30" s="13">
        <v>-1.2248150875360799</v>
      </c>
      <c r="DJ30" s="13">
        <v>-0.11998885175295999</v>
      </c>
      <c r="DK30" s="13">
        <v>-6.1828520183264501</v>
      </c>
      <c r="DL30" s="13">
        <v>-0.119980740624569</v>
      </c>
      <c r="DM30" s="13">
        <v>-3.1940707478442998</v>
      </c>
      <c r="DN30" s="12">
        <v>-5.9469860445111404</v>
      </c>
      <c r="DO30" s="13">
        <v>1063.36741463414</v>
      </c>
      <c r="DP30" s="13">
        <v>1229.42808174027</v>
      </c>
      <c r="DQ30" s="13">
        <v>1030.7406651884601</v>
      </c>
      <c r="DR30" s="13">
        <v>1507.9741043295601</v>
      </c>
      <c r="DS30" s="13">
        <v>1520.8456762749399</v>
      </c>
      <c r="DT30" s="13">
        <v>1583.5021959322501</v>
      </c>
      <c r="DU30" s="13">
        <v>1421.9059431923399</v>
      </c>
      <c r="DV30" s="13"/>
      <c r="DW30" s="13">
        <v>1485.2372147915</v>
      </c>
      <c r="DX30" s="12">
        <v>1389.9984854445299</v>
      </c>
      <c r="DY30" s="18">
        <v>2.3792357606344599</v>
      </c>
      <c r="DZ30" s="13">
        <v>10.850757029560199</v>
      </c>
      <c r="EA30" s="13">
        <v>7.3900504686373401</v>
      </c>
      <c r="EB30" s="13">
        <v>45.205479452054703</v>
      </c>
      <c r="EC30" s="13">
        <v>34.174477289113099</v>
      </c>
      <c r="ED30" s="5">
        <v>67.232186136694096</v>
      </c>
      <c r="EE30" s="12">
        <v>4126</v>
      </c>
    </row>
    <row r="31" spans="1:135" x14ac:dyDescent="0.2">
      <c r="A31" s="30"/>
      <c r="B31" s="5">
        <v>1</v>
      </c>
      <c r="C31" s="12" t="s">
        <v>70</v>
      </c>
      <c r="D31" s="13" t="s">
        <v>71</v>
      </c>
      <c r="E31" s="13" t="str">
        <f t="shared" si="0"/>
        <v>EMT_low</v>
      </c>
      <c r="F31" s="13" t="s">
        <v>72</v>
      </c>
      <c r="G31" s="13" t="s">
        <v>64</v>
      </c>
      <c r="H31" s="13">
        <v>1</v>
      </c>
      <c r="I31" s="13" t="s">
        <v>64</v>
      </c>
      <c r="J31" s="13" t="s">
        <v>65</v>
      </c>
      <c r="K31" s="13" t="s">
        <v>66</v>
      </c>
      <c r="L31" s="13"/>
      <c r="M31" s="13"/>
      <c r="N31" s="13"/>
      <c r="O31" s="13"/>
      <c r="P31" s="13"/>
      <c r="Q31" s="13"/>
      <c r="R31" s="13"/>
      <c r="S31" s="13"/>
      <c r="T31" s="13" t="s">
        <v>73</v>
      </c>
      <c r="U31" s="5">
        <v>1.58</v>
      </c>
      <c r="V31" s="12">
        <v>0</v>
      </c>
      <c r="W31" s="5">
        <v>1630</v>
      </c>
      <c r="X31" s="18">
        <v>12810.1097246929</v>
      </c>
      <c r="Y31" s="13">
        <v>47662.7869906673</v>
      </c>
      <c r="Z31" s="13">
        <v>553030.18278403406</v>
      </c>
      <c r="AA31" s="13">
        <v>921425.84037302097</v>
      </c>
      <c r="AB31" s="13">
        <v>125986.848747226</v>
      </c>
      <c r="AC31" s="13">
        <v>663439.64279423701</v>
      </c>
      <c r="AD31" s="13">
        <v>147771.44119504999</v>
      </c>
      <c r="AE31" s="13">
        <v>323484.20241405</v>
      </c>
      <c r="AF31" s="13">
        <v>479636.12756024097</v>
      </c>
      <c r="AG31" s="13"/>
      <c r="AH31" s="13">
        <v>400918.105391288</v>
      </c>
      <c r="AI31" s="12">
        <v>91647.307882488996</v>
      </c>
      <c r="AJ31" s="18">
        <v>3.7810769848521802E-2</v>
      </c>
      <c r="AK31" s="13">
        <v>0.16176881421598899</v>
      </c>
      <c r="AL31" s="13">
        <v>0.74227654570371804</v>
      </c>
      <c r="AM31" s="13">
        <v>0.62092672753992295</v>
      </c>
      <c r="AN31" s="13">
        <v>0.111808386504583</v>
      </c>
      <c r="AO31" s="13">
        <v>0.53568562727427405</v>
      </c>
      <c r="AP31" s="13">
        <v>0.146299162454404</v>
      </c>
      <c r="AQ31" s="13">
        <v>0.39119342778433602</v>
      </c>
      <c r="AR31" s="13"/>
      <c r="AS31" s="13">
        <v>0.71180820212361195</v>
      </c>
      <c r="AT31" s="12">
        <v>0.37634308056125299</v>
      </c>
      <c r="AU31" s="18">
        <v>-3.5536676354702501</v>
      </c>
      <c r="AV31" s="33">
        <v>-4.0329222669124398</v>
      </c>
      <c r="AW31" s="33">
        <v>-7.6081544555159804</v>
      </c>
      <c r="AX31" s="33">
        <v>-6.2738696492603996</v>
      </c>
      <c r="AY31" s="33">
        <v>-9.8763605649971495</v>
      </c>
      <c r="AZ31" s="33">
        <v>-8.2868636485236102</v>
      </c>
      <c r="BA31" s="33">
        <v>-13.3213610975117</v>
      </c>
      <c r="BB31" s="33"/>
      <c r="BC31" s="33">
        <v>-5.9753777755297204</v>
      </c>
      <c r="BD31" s="12">
        <v>-4.8795976106423504</v>
      </c>
      <c r="BE31" s="18">
        <v>2.2696514012303401</v>
      </c>
      <c r="BF31" s="33">
        <v>21.515575784587799</v>
      </c>
      <c r="BG31" s="33">
        <v>27.058251074828199</v>
      </c>
      <c r="BH31" s="33">
        <v>27.781224661929599</v>
      </c>
      <c r="BI31" s="33">
        <v>13.5163768101482</v>
      </c>
      <c r="BJ31" s="33">
        <v>22.821407359956002</v>
      </c>
      <c r="BK31" s="33">
        <v>17.495070303175599</v>
      </c>
      <c r="BL31" s="33"/>
      <c r="BM31" s="33">
        <v>29.298426261086099</v>
      </c>
      <c r="BN31" s="12">
        <v>25.955192669172899</v>
      </c>
      <c r="BO31" s="18">
        <v>0.25336433142808001</v>
      </c>
      <c r="BP31" s="13">
        <v>0.79685371380109804</v>
      </c>
      <c r="BQ31" s="13">
        <v>0.99840510366826096</v>
      </c>
      <c r="BR31" s="13">
        <v>0.99366531761393595</v>
      </c>
      <c r="BS31" s="13">
        <v>0.51889006588420905</v>
      </c>
      <c r="BT31" s="13">
        <v>0.98181089294754298</v>
      </c>
      <c r="BU31" s="13">
        <v>0.57655828645955898</v>
      </c>
      <c r="BV31" s="13">
        <v>0.93509395907123105</v>
      </c>
      <c r="BW31" s="13"/>
      <c r="BX31" s="13">
        <v>0.99950803542144895</v>
      </c>
      <c r="BY31" s="12">
        <v>0.96521472644112705</v>
      </c>
      <c r="BZ31" s="18">
        <v>-4.0348252629908501</v>
      </c>
      <c r="CA31" s="13">
        <v>-1.8346170054175399</v>
      </c>
      <c r="CB31" s="13">
        <v>-4.5989790942152702</v>
      </c>
      <c r="CC31" s="13">
        <v>13.174758932160501</v>
      </c>
      <c r="CD31" s="13">
        <v>-13.092124644256799</v>
      </c>
      <c r="CE31" s="13">
        <v>5.44855256049697</v>
      </c>
      <c r="CF31" s="13">
        <v>-0.93626460005439405</v>
      </c>
      <c r="CG31" s="13"/>
      <c r="CH31" s="13">
        <v>2.8161229033667698</v>
      </c>
      <c r="CI31" s="12">
        <v>-6.7534923408124499</v>
      </c>
      <c r="CJ31" s="18">
        <v>310.94224196855703</v>
      </c>
      <c r="CK31" s="13">
        <v>339.49828718299801</v>
      </c>
      <c r="CL31" s="13">
        <v>337.13361153743699</v>
      </c>
      <c r="CM31" s="13">
        <v>422.32398138972502</v>
      </c>
      <c r="CN31" s="13">
        <v>244.30263071555501</v>
      </c>
      <c r="CO31" s="13">
        <v>374.31009296883002</v>
      </c>
      <c r="CP31" s="13">
        <v>347.03334319795198</v>
      </c>
      <c r="CQ31" s="13"/>
      <c r="CR31" s="13">
        <v>385.18123271425901</v>
      </c>
      <c r="CS31" s="12">
        <v>308.59250469924802</v>
      </c>
      <c r="CT31" s="18">
        <v>0.94379944351605605</v>
      </c>
      <c r="CU31" s="13">
        <v>0.99915812031226003</v>
      </c>
      <c r="CV31" s="13">
        <v>1</v>
      </c>
      <c r="CW31" s="13">
        <v>1</v>
      </c>
      <c r="CX31" s="13">
        <v>0.98876318605717695</v>
      </c>
      <c r="CY31" s="13">
        <v>1</v>
      </c>
      <c r="CZ31" s="13">
        <v>1</v>
      </c>
      <c r="DA31" s="13">
        <v>1</v>
      </c>
      <c r="DB31" s="13"/>
      <c r="DC31" s="13">
        <v>1</v>
      </c>
      <c r="DD31" s="12">
        <v>1</v>
      </c>
      <c r="DE31" s="18">
        <v>-5.6327825922316901</v>
      </c>
      <c r="DF31" s="13">
        <v>-0.93930381733614499</v>
      </c>
      <c r="DG31" s="13">
        <v>-2.9220861265551998</v>
      </c>
      <c r="DH31" s="13">
        <v>12.457882913184299</v>
      </c>
      <c r="DI31" s="13">
        <v>-2.0723971122808802</v>
      </c>
      <c r="DJ31" s="13">
        <v>2.8589341483314099</v>
      </c>
      <c r="DK31" s="13">
        <v>1.6148056156321899</v>
      </c>
      <c r="DL31" s="13"/>
      <c r="DM31" s="13">
        <v>-0.97765136535682795</v>
      </c>
      <c r="DN31" s="12">
        <v>-4.5216706754630698</v>
      </c>
      <c r="DO31" s="13">
        <v>1162.0615174299301</v>
      </c>
      <c r="DP31" s="13">
        <v>2300.7723762825199</v>
      </c>
      <c r="DQ31" s="13">
        <v>2271.6449643957799</v>
      </c>
      <c r="DR31" s="13">
        <v>2882.5612839165401</v>
      </c>
      <c r="DS31" s="13">
        <v>2303.6678030178</v>
      </c>
      <c r="DT31" s="13">
        <v>2492.7249865994299</v>
      </c>
      <c r="DU31" s="13">
        <v>2417.6631839942102</v>
      </c>
      <c r="DV31" s="13"/>
      <c r="DW31" s="13">
        <v>2377.1437439349802</v>
      </c>
      <c r="DX31" s="12">
        <v>2131.7818961466101</v>
      </c>
      <c r="DY31" s="18">
        <v>5.0997412055925704</v>
      </c>
      <c r="DZ31" s="13">
        <v>28.666386137677001</v>
      </c>
      <c r="EA31" s="13">
        <v>5.6575523610459397</v>
      </c>
      <c r="EB31" s="13">
        <v>39.3300114595664</v>
      </c>
      <c r="EC31" s="13">
        <v>21.246308836117901</v>
      </c>
      <c r="ED31" s="5">
        <v>66.5151974889245</v>
      </c>
      <c r="EE31" s="12">
        <v>5945</v>
      </c>
    </row>
    <row r="32" spans="1:135" x14ac:dyDescent="0.2">
      <c r="A32" s="30"/>
      <c r="B32" s="5">
        <v>3</v>
      </c>
      <c r="C32" s="12" t="s">
        <v>76</v>
      </c>
      <c r="D32" s="13" t="s">
        <v>71</v>
      </c>
      <c r="E32" s="13" t="str">
        <f t="shared" si="0"/>
        <v>EMT_low</v>
      </c>
      <c r="F32" s="13" t="s">
        <v>63</v>
      </c>
      <c r="G32" s="13" t="s">
        <v>64</v>
      </c>
      <c r="H32" s="13">
        <v>1</v>
      </c>
      <c r="I32" s="13" t="s">
        <v>64</v>
      </c>
      <c r="J32" s="13" t="s">
        <v>77</v>
      </c>
      <c r="K32" s="13" t="s">
        <v>66</v>
      </c>
      <c r="L32" s="13">
        <v>7.9299999999999995E-2</v>
      </c>
      <c r="M32" s="13">
        <v>34</v>
      </c>
      <c r="N32" s="13">
        <v>0.32250000000000001</v>
      </c>
      <c r="O32" s="13">
        <v>-0.46829999999999999</v>
      </c>
      <c r="P32" s="13" t="s">
        <v>78</v>
      </c>
      <c r="Q32" s="13" t="s">
        <v>68</v>
      </c>
      <c r="R32" s="13">
        <v>48.279000000000003</v>
      </c>
      <c r="S32" s="13">
        <v>32.571800000000003</v>
      </c>
      <c r="T32" s="13"/>
      <c r="U32" s="5"/>
      <c r="V32" s="12">
        <v>1</v>
      </c>
      <c r="W32" s="5">
        <v>3054</v>
      </c>
      <c r="X32" s="18">
        <v>0</v>
      </c>
      <c r="Y32" s="13">
        <v>35998.806102415903</v>
      </c>
      <c r="Z32" s="13">
        <v>278837.822246606</v>
      </c>
      <c r="AA32" s="13">
        <v>1505094.4151622099</v>
      </c>
      <c r="AB32" s="13">
        <v>953989.729183838</v>
      </c>
      <c r="AC32" s="13">
        <v>85881.121837436396</v>
      </c>
      <c r="AD32" s="13">
        <v>302370.11204895598</v>
      </c>
      <c r="AE32" s="13">
        <v>424847.830132264</v>
      </c>
      <c r="AF32" s="13">
        <v>242294.508012223</v>
      </c>
      <c r="AG32" s="13"/>
      <c r="AH32" s="13">
        <v>66719.322915416895</v>
      </c>
      <c r="AI32" s="12">
        <v>21099.701900042201</v>
      </c>
      <c r="AJ32" s="18">
        <v>1.4646649578908E-3</v>
      </c>
      <c r="AK32" s="13">
        <v>9.5510807315721397E-2</v>
      </c>
      <c r="AL32" s="13">
        <v>0.111501659832064</v>
      </c>
      <c r="AM32" s="13">
        <v>0.67487241068748105</v>
      </c>
      <c r="AN32" s="13">
        <v>0.40914447325005798</v>
      </c>
      <c r="AO32" s="13">
        <v>7.3839269065821306E-2</v>
      </c>
      <c r="AP32" s="13">
        <v>0.26024671707122898</v>
      </c>
      <c r="AQ32" s="13">
        <v>0.183534449202024</v>
      </c>
      <c r="AR32" s="13"/>
      <c r="AS32" s="13">
        <v>0.25843744173037397</v>
      </c>
      <c r="AT32" s="12">
        <v>0.116283348666053</v>
      </c>
      <c r="AU32" s="18">
        <v>-1.51673862156594</v>
      </c>
      <c r="AV32" s="33">
        <v>-7.2819141098048501</v>
      </c>
      <c r="AW32" s="33">
        <v>-24.0224645910193</v>
      </c>
      <c r="AX32" s="33">
        <v>-24.630922013663401</v>
      </c>
      <c r="AY32" s="33">
        <v>-20.5885552270665</v>
      </c>
      <c r="AZ32" s="33">
        <v>-11.518250232542</v>
      </c>
      <c r="BA32" s="33">
        <v>-9.00446576868036</v>
      </c>
      <c r="BB32" s="33"/>
      <c r="BC32" s="33">
        <v>-2.8317197989515899</v>
      </c>
      <c r="BD32" s="12">
        <v>-2.7271797089652101</v>
      </c>
      <c r="BE32" s="18"/>
      <c r="BF32" s="33">
        <v>8.9991762013729897</v>
      </c>
      <c r="BG32" s="33">
        <v>3.7277289333172701</v>
      </c>
      <c r="BH32" s="33">
        <v>18.619308692646801</v>
      </c>
      <c r="BI32" s="33">
        <v>17.426683422740702</v>
      </c>
      <c r="BJ32" s="33">
        <v>6.8743707093821502</v>
      </c>
      <c r="BK32" s="33">
        <v>20.1904594261573</v>
      </c>
      <c r="BL32" s="33"/>
      <c r="BM32" s="33">
        <v>24.622745995423301</v>
      </c>
      <c r="BN32" s="12">
        <v>19.641059169663201</v>
      </c>
      <c r="BO32" s="18">
        <v>2.9110216038081199E-2</v>
      </c>
      <c r="BP32" s="13">
        <v>0.51875115462774801</v>
      </c>
      <c r="BQ32" s="13">
        <v>0.52509275532122601</v>
      </c>
      <c r="BR32" s="13">
        <v>0.99879915941158803</v>
      </c>
      <c r="BS32" s="13">
        <v>0.90431298609474398</v>
      </c>
      <c r="BT32" s="13">
        <v>0.36341599850829698</v>
      </c>
      <c r="BU32" s="13">
        <v>0.91862315957023399</v>
      </c>
      <c r="BV32" s="13">
        <v>0.69346049046321501</v>
      </c>
      <c r="BW32" s="13"/>
      <c r="BX32" s="13">
        <v>0.88961402200260997</v>
      </c>
      <c r="BY32" s="12">
        <v>0.65538178472860997</v>
      </c>
      <c r="BZ32" s="18">
        <v>-3.18476491111837</v>
      </c>
      <c r="CA32" s="13">
        <v>-5.5016252462143402</v>
      </c>
      <c r="CB32" s="13">
        <v>-13.8641244731702</v>
      </c>
      <c r="CC32" s="13">
        <v>3.67681541816374</v>
      </c>
      <c r="CD32" s="13">
        <v>6.0384610983556097</v>
      </c>
      <c r="CE32" s="13">
        <v>-8.1263855383909593</v>
      </c>
      <c r="CF32" s="13">
        <v>0.599555464680113</v>
      </c>
      <c r="CG32" s="13"/>
      <c r="CH32" s="13">
        <v>-1.0881127779016799</v>
      </c>
      <c r="CI32" s="12">
        <v>-1.0918215776758899</v>
      </c>
      <c r="CJ32" s="18"/>
      <c r="CK32" s="13">
        <v>238.72814645308901</v>
      </c>
      <c r="CL32" s="13">
        <v>231.92321383167999</v>
      </c>
      <c r="CM32" s="13">
        <v>329.33781625529599</v>
      </c>
      <c r="CN32" s="13">
        <v>340.94215027947598</v>
      </c>
      <c r="CO32" s="13">
        <v>230.103935926773</v>
      </c>
      <c r="CP32" s="13">
        <v>319.50921316669599</v>
      </c>
      <c r="CQ32" s="13"/>
      <c r="CR32" s="13">
        <v>304.972082379862</v>
      </c>
      <c r="CS32" s="12">
        <v>295.06227525334998</v>
      </c>
      <c r="CT32" s="18">
        <v>0.32826803368729401</v>
      </c>
      <c r="CU32" s="13">
        <v>1</v>
      </c>
      <c r="CV32" s="13">
        <v>1</v>
      </c>
      <c r="CW32" s="13">
        <v>1</v>
      </c>
      <c r="CX32" s="13">
        <v>1</v>
      </c>
      <c r="CY32" s="13">
        <v>0.846354652246876</v>
      </c>
      <c r="CZ32" s="13">
        <v>1</v>
      </c>
      <c r="DA32" s="13">
        <v>1</v>
      </c>
      <c r="DB32" s="13"/>
      <c r="DC32" s="13">
        <v>1</v>
      </c>
      <c r="DD32" s="12">
        <v>0.99908003679852797</v>
      </c>
      <c r="DE32" s="18">
        <v>-0.50634746997658697</v>
      </c>
      <c r="DF32" s="13">
        <v>0.84641086143932798</v>
      </c>
      <c r="DG32" s="13">
        <v>-2.6392222343805298</v>
      </c>
      <c r="DH32" s="13">
        <v>8.0312138379019693</v>
      </c>
      <c r="DI32" s="13">
        <v>5.1080145938692096</v>
      </c>
      <c r="DJ32" s="13">
        <v>1.64189832873629</v>
      </c>
      <c r="DK32" s="13">
        <v>-7.9263481853497</v>
      </c>
      <c r="DL32" s="13"/>
      <c r="DM32" s="13">
        <v>-2.0215377621731401</v>
      </c>
      <c r="DN32" s="12">
        <v>2.7466723664093702</v>
      </c>
      <c r="DO32" s="13"/>
      <c r="DP32" s="13">
        <v>2136.30443935926</v>
      </c>
      <c r="DQ32" s="13">
        <v>1949.27331486611</v>
      </c>
      <c r="DR32" s="13">
        <v>2281.8912528282099</v>
      </c>
      <c r="DS32" s="13">
        <v>2213.4141838916598</v>
      </c>
      <c r="DT32" s="13">
        <v>2166.6766590389002</v>
      </c>
      <c r="DU32" s="13">
        <v>1726.3419679633801</v>
      </c>
      <c r="DV32" s="13"/>
      <c r="DW32" s="13">
        <v>1918.69935926773</v>
      </c>
      <c r="DX32" s="12">
        <v>2392.1917293233</v>
      </c>
      <c r="DY32" s="18">
        <v>28.951115329852801</v>
      </c>
      <c r="DZ32" s="13">
        <v>2.3730422401518698</v>
      </c>
      <c r="EA32" s="13">
        <v>10.370194589463599</v>
      </c>
      <c r="EB32" s="13">
        <v>50.593260560037898</v>
      </c>
      <c r="EC32" s="13">
        <v>7.7123872804935898</v>
      </c>
      <c r="ED32" s="5">
        <v>88.996832101372704</v>
      </c>
      <c r="EE32" s="12">
        <v>4735</v>
      </c>
    </row>
    <row r="33" spans="1:135" x14ac:dyDescent="0.2">
      <c r="A33" s="30"/>
      <c r="B33" s="5">
        <v>4</v>
      </c>
      <c r="C33" s="12" t="s">
        <v>79</v>
      </c>
      <c r="D33" s="13" t="s">
        <v>71</v>
      </c>
      <c r="E33" s="13" t="str">
        <f t="shared" si="0"/>
        <v>EMT_low</v>
      </c>
      <c r="F33" s="13" t="s">
        <v>63</v>
      </c>
      <c r="G33" s="13"/>
      <c r="H33" s="13"/>
      <c r="I33" s="13" t="s">
        <v>64</v>
      </c>
      <c r="J33" s="13" t="s">
        <v>65</v>
      </c>
      <c r="K33" s="13" t="s">
        <v>80</v>
      </c>
      <c r="L33" s="13">
        <v>0.35320000000000001</v>
      </c>
      <c r="M33" s="13">
        <v>347</v>
      </c>
      <c r="N33" s="13">
        <v>7.6100000000000001E-2</v>
      </c>
      <c r="O33" s="13">
        <v>0.3876</v>
      </c>
      <c r="P33" s="13" t="s">
        <v>81</v>
      </c>
      <c r="Q33" s="13" t="s">
        <v>68</v>
      </c>
      <c r="R33" s="13">
        <v>19.033999999999999</v>
      </c>
      <c r="S33" s="13">
        <v>14.1021</v>
      </c>
      <c r="T33" s="13"/>
      <c r="U33" s="5"/>
      <c r="V33" s="12">
        <v>0</v>
      </c>
      <c r="W33" s="5">
        <v>152</v>
      </c>
      <c r="X33" s="18">
        <v>472808.52641905</v>
      </c>
      <c r="Y33" s="13">
        <v>127933.839951923</v>
      </c>
      <c r="Z33" s="13">
        <v>375255.08461210999</v>
      </c>
      <c r="AA33" s="13">
        <v>334887.11631214502</v>
      </c>
      <c r="AB33" s="13">
        <v>305789.128558503</v>
      </c>
      <c r="AC33" s="13">
        <v>993708.409514823</v>
      </c>
      <c r="AD33" s="13">
        <v>15838.7558286239</v>
      </c>
      <c r="AE33" s="13">
        <v>275142.90446333698</v>
      </c>
      <c r="AF33" s="13">
        <v>30539.380364806901</v>
      </c>
      <c r="AG33" s="13">
        <v>5449.6463306952301</v>
      </c>
      <c r="AH33" s="13">
        <v>740042.71792126505</v>
      </c>
      <c r="AI33" s="12">
        <v>394935.94432613498</v>
      </c>
      <c r="AJ33" s="18">
        <v>0.24278102345848099</v>
      </c>
      <c r="AK33" s="13">
        <v>0.288724619311091</v>
      </c>
      <c r="AL33" s="13">
        <v>0.497751382460008</v>
      </c>
      <c r="AM33" s="13">
        <v>0.21561650501677301</v>
      </c>
      <c r="AN33" s="13">
        <v>0.21593984962405999</v>
      </c>
      <c r="AO33" s="13">
        <v>0.45985090752965802</v>
      </c>
      <c r="AP33" s="13">
        <v>2.9863243092380601E-2</v>
      </c>
      <c r="AQ33" s="13">
        <v>3.5564267712125397E-2</v>
      </c>
      <c r="AR33" s="13">
        <v>2.2910913244316398E-2</v>
      </c>
      <c r="AS33" s="13">
        <v>0.72844798180784498</v>
      </c>
      <c r="AT33" s="12">
        <v>0.64926574929048197</v>
      </c>
      <c r="AU33" s="18">
        <v>-0.85403826032658803</v>
      </c>
      <c r="AV33" s="33">
        <v>-0.356673556707851</v>
      </c>
      <c r="AW33" s="33">
        <v>0.92807689567893004</v>
      </c>
      <c r="AX33" s="33">
        <v>3.8041252037557398</v>
      </c>
      <c r="AY33" s="33">
        <v>-1.0701195817278</v>
      </c>
      <c r="AZ33" s="33">
        <v>-2.0446498619286402</v>
      </c>
      <c r="BA33" s="33">
        <v>-1.25771903750331</v>
      </c>
      <c r="BB33" s="33">
        <v>-0.45411599725051199</v>
      </c>
      <c r="BC33" s="33">
        <v>3.3890166727104298</v>
      </c>
      <c r="BD33" s="12">
        <v>2.5089891928712298</v>
      </c>
      <c r="BE33" s="18"/>
      <c r="BF33" s="33"/>
      <c r="BG33" s="33"/>
      <c r="BH33" s="33"/>
      <c r="BI33" s="33"/>
      <c r="BJ33" s="33"/>
      <c r="BK33" s="33"/>
      <c r="BL33" s="33"/>
      <c r="BM33" s="33"/>
      <c r="BN33" s="12"/>
      <c r="BO33" s="18">
        <v>0.62904564666819096</v>
      </c>
      <c r="BP33" s="13">
        <v>0.77987860506053996</v>
      </c>
      <c r="BQ33" s="13">
        <v>0.91920775149615197</v>
      </c>
      <c r="BR33" s="13">
        <v>0.52718096576306905</v>
      </c>
      <c r="BS33" s="13">
        <v>0.77142857142857102</v>
      </c>
      <c r="BT33" s="13">
        <v>0.83815690467634896</v>
      </c>
      <c r="BU33" s="13">
        <v>0.189506000558191</v>
      </c>
      <c r="BV33" s="13">
        <v>0.21058527023242701</v>
      </c>
      <c r="BW33" s="13">
        <v>0.20294705333497501</v>
      </c>
      <c r="BX33" s="13">
        <v>0.99855072463768102</v>
      </c>
      <c r="BY33" s="12">
        <v>0.99308869968421398</v>
      </c>
      <c r="BZ33" s="18">
        <v>-1.3727830700992201</v>
      </c>
      <c r="CA33" s="13">
        <v>-0.59861817253230099</v>
      </c>
      <c r="CB33" s="13">
        <v>2.9204947964407402</v>
      </c>
      <c r="CC33" s="13">
        <v>3.4735169136673898</v>
      </c>
      <c r="CD33" s="13">
        <v>8.5531595743637201</v>
      </c>
      <c r="CE33" s="13">
        <v>-0.62954799634305403</v>
      </c>
      <c r="CF33" s="13">
        <v>3.4097442787682701</v>
      </c>
      <c r="CG33" s="13">
        <v>3.6748288514690102</v>
      </c>
      <c r="CH33" s="13">
        <v>1.67886326356673</v>
      </c>
      <c r="CI33" s="12">
        <v>4.9618285352998601</v>
      </c>
      <c r="CJ33" s="18"/>
      <c r="CK33" s="13"/>
      <c r="CL33" s="13"/>
      <c r="CM33" s="13"/>
      <c r="CN33" s="13"/>
      <c r="CO33" s="13"/>
      <c r="CP33" s="13"/>
      <c r="CQ33" s="13"/>
      <c r="CR33" s="13"/>
      <c r="CS33" s="12"/>
      <c r="CT33" s="18">
        <v>0.89996315401621196</v>
      </c>
      <c r="CU33" s="13">
        <v>0.98722695298037699</v>
      </c>
      <c r="CV33" s="13">
        <v>1</v>
      </c>
      <c r="CW33" s="13">
        <v>0.77651103872602201</v>
      </c>
      <c r="CX33" s="13">
        <v>1</v>
      </c>
      <c r="CY33" s="13">
        <v>0.99332013854527401</v>
      </c>
      <c r="CZ33" s="13">
        <v>0.70639129221322905</v>
      </c>
      <c r="DA33" s="13">
        <v>0.84234108092971105</v>
      </c>
      <c r="DB33" s="13">
        <v>0.76151846879462703</v>
      </c>
      <c r="DC33" s="13">
        <v>1</v>
      </c>
      <c r="DD33" s="12">
        <v>1</v>
      </c>
      <c r="DE33" s="18">
        <v>5.62303052684259</v>
      </c>
      <c r="DF33" s="13">
        <v>3.6766578120813902</v>
      </c>
      <c r="DG33" s="13">
        <v>4.4038515657927899</v>
      </c>
      <c r="DH33" s="13">
        <v>2.4876703588321201</v>
      </c>
      <c r="DI33" s="13">
        <v>-0.114314815315936</v>
      </c>
      <c r="DJ33" s="13">
        <v>-3.12340098842837</v>
      </c>
      <c r="DK33" s="13">
        <v>1.7635154308508001</v>
      </c>
      <c r="DL33" s="13">
        <v>5.1353200205260396</v>
      </c>
      <c r="DM33" s="13">
        <v>1.7695994207566199</v>
      </c>
      <c r="DN33" s="12">
        <v>4.5700140456496801</v>
      </c>
      <c r="DO33" s="13"/>
      <c r="DP33" s="13"/>
      <c r="DQ33" s="13"/>
      <c r="DR33" s="13"/>
      <c r="DS33" s="13"/>
      <c r="DT33" s="13"/>
      <c r="DU33" s="13"/>
      <c r="DV33" s="13"/>
      <c r="DW33" s="13"/>
      <c r="DX33" s="12"/>
      <c r="DY33" s="18">
        <v>7.96329188869153</v>
      </c>
      <c r="DZ33" s="13">
        <v>72.505208283862501</v>
      </c>
      <c r="EA33" s="13">
        <v>0.32563647128478301</v>
      </c>
      <c r="EB33" s="13">
        <v>18.524987098020201</v>
      </c>
      <c r="EC33" s="13">
        <v>0.68087625814091102</v>
      </c>
      <c r="ED33" s="5">
        <v>40.9504236133237</v>
      </c>
      <c r="EE33" s="12">
        <v>2898</v>
      </c>
    </row>
    <row r="34" spans="1:135" x14ac:dyDescent="0.2">
      <c r="A34" s="30"/>
      <c r="B34" s="5">
        <v>5</v>
      </c>
      <c r="C34" s="12" t="s">
        <v>82</v>
      </c>
      <c r="D34" s="13" t="s">
        <v>71</v>
      </c>
      <c r="E34" s="13" t="str">
        <f t="shared" si="0"/>
        <v>EMT_low</v>
      </c>
      <c r="F34" s="13" t="s">
        <v>72</v>
      </c>
      <c r="G34" s="13" t="s">
        <v>64</v>
      </c>
      <c r="H34" s="13">
        <v>0</v>
      </c>
      <c r="I34" s="13" t="s">
        <v>64</v>
      </c>
      <c r="J34" s="13" t="s">
        <v>65</v>
      </c>
      <c r="K34" s="13" t="s">
        <v>66</v>
      </c>
      <c r="L34" s="13">
        <v>-0.122</v>
      </c>
      <c r="M34" s="13">
        <v>15</v>
      </c>
      <c r="N34" s="13">
        <v>-0.17130000000000001</v>
      </c>
      <c r="O34" s="13">
        <v>4.8999999999999998E-3</v>
      </c>
      <c r="P34" s="13" t="s">
        <v>83</v>
      </c>
      <c r="Q34" s="13" t="s">
        <v>68</v>
      </c>
      <c r="R34" s="13">
        <v>9.0524000000000004</v>
      </c>
      <c r="S34" s="13">
        <v>8.1024999999999991</v>
      </c>
      <c r="T34" s="13"/>
      <c r="U34" s="5"/>
      <c r="V34" s="12">
        <v>0</v>
      </c>
      <c r="W34" s="5">
        <v>2101</v>
      </c>
      <c r="X34" s="18">
        <v>124153.296967291</v>
      </c>
      <c r="Y34" s="13">
        <v>113519.34674556</v>
      </c>
      <c r="Z34" s="13">
        <v>870786.81749058503</v>
      </c>
      <c r="AA34" s="13">
        <v>136379.80108744599</v>
      </c>
      <c r="AB34" s="13">
        <v>431710.02978704398</v>
      </c>
      <c r="AC34" s="13">
        <v>523992.48616062797</v>
      </c>
      <c r="AD34" s="13">
        <v>47394.475456954802</v>
      </c>
      <c r="AE34" s="13">
        <v>301525.40143481101</v>
      </c>
      <c r="AF34" s="13">
        <v>1520965.35673445</v>
      </c>
      <c r="AG34" s="13">
        <v>1682.66928773122</v>
      </c>
      <c r="AH34" s="13">
        <v>159806.07424935</v>
      </c>
      <c r="AI34" s="12">
        <v>72424.786590919306</v>
      </c>
      <c r="AJ34" s="18">
        <v>0.25841505433342099</v>
      </c>
      <c r="AK34" s="13">
        <v>0.134049964402814</v>
      </c>
      <c r="AL34" s="13">
        <v>0.36452936266418101</v>
      </c>
      <c r="AM34" s="13">
        <v>8.3986673605313603E-2</v>
      </c>
      <c r="AN34" s="13">
        <v>0.18490783410138201</v>
      </c>
      <c r="AO34" s="13">
        <v>0.17461489961611701</v>
      </c>
      <c r="AP34" s="13">
        <v>3.9366060584627299E-2</v>
      </c>
      <c r="AQ34" s="13">
        <v>0.52518514507820502</v>
      </c>
      <c r="AR34" s="13">
        <v>7.8648024483950509E-3</v>
      </c>
      <c r="AS34" s="13">
        <v>0.40801126953600197</v>
      </c>
      <c r="AT34" s="12">
        <v>0.18725924898254401</v>
      </c>
      <c r="AU34" s="18">
        <v>-4.0655019219278303</v>
      </c>
      <c r="AV34" s="33">
        <v>-4.7013909924349901</v>
      </c>
      <c r="AW34" s="33">
        <v>-6.8316762067375398</v>
      </c>
      <c r="AX34" s="33">
        <v>-2.3673717045596998</v>
      </c>
      <c r="AY34" s="33">
        <v>-1.9211703172147101</v>
      </c>
      <c r="AZ34" s="33">
        <v>-9.36296366587686</v>
      </c>
      <c r="BA34" s="33">
        <v>-5.7888169471183302</v>
      </c>
      <c r="BB34" s="33">
        <v>-1.0289556178369601</v>
      </c>
      <c r="BC34" s="33">
        <v>-4.4083141019180001</v>
      </c>
      <c r="BD34" s="12">
        <v>-3.4736784471648701</v>
      </c>
      <c r="BE34" s="18">
        <v>0</v>
      </c>
      <c r="BF34" s="33">
        <v>4.7096763556131096</v>
      </c>
      <c r="BG34" s="33">
        <v>18.123148685989499</v>
      </c>
      <c r="BH34" s="33">
        <v>13.097046413502101</v>
      </c>
      <c r="BI34" s="33">
        <v>14.862265688671499</v>
      </c>
      <c r="BJ34" s="33">
        <v>12.7085918618702</v>
      </c>
      <c r="BK34" s="33">
        <v>19.515015712630898</v>
      </c>
      <c r="BL34" s="33"/>
      <c r="BM34" s="33">
        <v>10.924182903834</v>
      </c>
      <c r="BN34" s="12">
        <v>0</v>
      </c>
      <c r="BO34" s="18">
        <v>0.72833289159819703</v>
      </c>
      <c r="BP34" s="13">
        <v>0.57963202545120995</v>
      </c>
      <c r="BQ34" s="13">
        <v>0.86043636254746403</v>
      </c>
      <c r="BR34" s="13">
        <v>0.375620302396794</v>
      </c>
      <c r="BS34" s="13">
        <v>0.64919354838709598</v>
      </c>
      <c r="BT34" s="13">
        <v>0.588707053253955</v>
      </c>
      <c r="BU34" s="13">
        <v>0.24928659514107801</v>
      </c>
      <c r="BV34" s="13">
        <v>0.94062697910069604</v>
      </c>
      <c r="BW34" s="13">
        <v>6.9741433502892705E-2</v>
      </c>
      <c r="BX34" s="13">
        <v>0.93291468831367697</v>
      </c>
      <c r="BY34" s="12">
        <v>0.68558872140628702</v>
      </c>
      <c r="BZ34" s="18">
        <v>-10.5591243294094</v>
      </c>
      <c r="CA34" s="13">
        <v>-9.7117376457493396</v>
      </c>
      <c r="CB34" s="13">
        <v>-7.1252960078540601</v>
      </c>
      <c r="CC34" s="13">
        <v>3.65921548375074</v>
      </c>
      <c r="CD34" s="13">
        <v>6.1253296076424002</v>
      </c>
      <c r="CE34" s="13">
        <v>-9.5775611258326396</v>
      </c>
      <c r="CF34" s="13">
        <v>13.3754456346996</v>
      </c>
      <c r="CG34" s="13">
        <v>-2.2329302593500202</v>
      </c>
      <c r="CH34" s="13">
        <v>-6.1660822116275096</v>
      </c>
      <c r="CI34" s="12">
        <v>-7.6524443607781496</v>
      </c>
      <c r="CJ34" s="18">
        <v>21.5555555555555</v>
      </c>
      <c r="CK34" s="13">
        <v>101.213979722761</v>
      </c>
      <c r="CL34" s="13">
        <v>233.60270965423501</v>
      </c>
      <c r="CM34" s="13">
        <v>366.17158931082901</v>
      </c>
      <c r="CN34" s="13">
        <v>283.33170334148298</v>
      </c>
      <c r="CO34" s="13">
        <v>190.89007856279699</v>
      </c>
      <c r="CP34" s="13">
        <v>432.840000412498</v>
      </c>
      <c r="CQ34" s="13"/>
      <c r="CR34" s="13">
        <v>186.62605672532999</v>
      </c>
      <c r="CS34" s="12">
        <v>46.328358208955201</v>
      </c>
      <c r="CT34" s="18">
        <v>1</v>
      </c>
      <c r="CU34" s="13">
        <v>0.94862009953460902</v>
      </c>
      <c r="CV34" s="13">
        <v>1</v>
      </c>
      <c r="CW34" s="13">
        <v>0.88391590073697601</v>
      </c>
      <c r="CX34" s="13">
        <v>1</v>
      </c>
      <c r="CY34" s="13">
        <v>1</v>
      </c>
      <c r="CZ34" s="13">
        <v>0.84717531808926105</v>
      </c>
      <c r="DA34" s="13">
        <v>1</v>
      </c>
      <c r="DB34" s="13">
        <v>0.47719553779366702</v>
      </c>
      <c r="DC34" s="13">
        <v>1</v>
      </c>
      <c r="DD34" s="12">
        <v>0.99977279612238701</v>
      </c>
      <c r="DE34" s="18">
        <v>-0.63795783277461204</v>
      </c>
      <c r="DF34" s="13">
        <v>-5.8231152197172404</v>
      </c>
      <c r="DG34" s="13">
        <v>-1.46885336777217</v>
      </c>
      <c r="DH34" s="13">
        <v>-3.1371336168454702</v>
      </c>
      <c r="DI34" s="13">
        <v>2.8194792892667699</v>
      </c>
      <c r="DJ34" s="13">
        <v>1.10653438484803</v>
      </c>
      <c r="DK34" s="13">
        <v>0.77354438713565599</v>
      </c>
      <c r="DL34" s="13">
        <v>-1.3742959300172399</v>
      </c>
      <c r="DM34" s="13">
        <v>-5.7205918584771798</v>
      </c>
      <c r="DN34" s="12">
        <v>-2.39947123920654</v>
      </c>
      <c r="DO34" s="13">
        <v>1372.37037037037</v>
      </c>
      <c r="DP34" s="13">
        <v>1407.14093100223</v>
      </c>
      <c r="DQ34" s="13">
        <v>1837.3864872536999</v>
      </c>
      <c r="DR34" s="13">
        <v>1178.7341772151899</v>
      </c>
      <c r="DS34" s="13">
        <v>1647.4979625101801</v>
      </c>
      <c r="DT34" s="13">
        <v>2083.3464821860098</v>
      </c>
      <c r="DU34" s="13">
        <v>2006.9449520870601</v>
      </c>
      <c r="DV34" s="13"/>
      <c r="DW34" s="13">
        <v>1369.82153912633</v>
      </c>
      <c r="DX34" s="12">
        <v>836.80597014925297</v>
      </c>
      <c r="DY34" s="18">
        <v>13.855013550135499</v>
      </c>
      <c r="DZ34" s="13">
        <v>15.239164354061201</v>
      </c>
      <c r="EA34" s="13">
        <v>1.79115361475195</v>
      </c>
      <c r="EB34" s="13">
        <v>8.1931201431347898</v>
      </c>
      <c r="EC34" s="13">
        <v>60.921548337916498</v>
      </c>
      <c r="ED34" s="5">
        <v>64.835577714428794</v>
      </c>
      <c r="EE34" s="12">
        <v>4718</v>
      </c>
    </row>
    <row r="35" spans="1:135" x14ac:dyDescent="0.2">
      <c r="A35" s="30"/>
      <c r="B35" s="5">
        <v>9</v>
      </c>
      <c r="C35" s="12" t="s">
        <v>90</v>
      </c>
      <c r="D35" s="13" t="s">
        <v>62</v>
      </c>
      <c r="E35" s="13" t="str">
        <f t="shared" ref="E35:E56" si="1">IF(EA35&lt;MEDIAN(EA$3:EA$56),"EMT_low","EMT_high")</f>
        <v>EMT_low</v>
      </c>
      <c r="F35" s="13" t="s">
        <v>63</v>
      </c>
      <c r="G35" s="13" t="s">
        <v>64</v>
      </c>
      <c r="H35" s="13">
        <v>1</v>
      </c>
      <c r="I35" s="13" t="s">
        <v>91</v>
      </c>
      <c r="J35" s="13" t="s">
        <v>77</v>
      </c>
      <c r="K35" s="13" t="s">
        <v>66</v>
      </c>
      <c r="L35" s="13">
        <v>0.41660000000000003</v>
      </c>
      <c r="M35" s="13">
        <v>652</v>
      </c>
      <c r="N35" s="13">
        <v>0.1168</v>
      </c>
      <c r="O35" s="13">
        <v>0.23380000000000001</v>
      </c>
      <c r="P35" s="13" t="s">
        <v>92</v>
      </c>
      <c r="Q35" s="13" t="s">
        <v>68</v>
      </c>
      <c r="R35" s="13">
        <v>93.727599999999995</v>
      </c>
      <c r="S35" s="13">
        <v>35.769599999999997</v>
      </c>
      <c r="T35" s="13"/>
      <c r="U35" s="5"/>
      <c r="V35" s="12">
        <v>1</v>
      </c>
      <c r="W35" s="5">
        <v>2824</v>
      </c>
      <c r="X35" s="18">
        <v>11027.918868317</v>
      </c>
      <c r="Y35" s="13">
        <v>52150.802308171798</v>
      </c>
      <c r="Z35" s="13">
        <v>86652.751751714997</v>
      </c>
      <c r="AA35" s="13">
        <v>191498.22372782999</v>
      </c>
      <c r="AB35" s="13">
        <v>86743.969033604197</v>
      </c>
      <c r="AC35" s="13">
        <v>1635961.1210966599</v>
      </c>
      <c r="AD35" s="13">
        <v>638441.30171419296</v>
      </c>
      <c r="AE35" s="13">
        <v>470122.70615097502</v>
      </c>
      <c r="AF35" s="13">
        <v>110398.695423449</v>
      </c>
      <c r="AG35" s="13">
        <v>8764.1960732039297</v>
      </c>
      <c r="AH35" s="13">
        <v>319275.57689661102</v>
      </c>
      <c r="AI35" s="12">
        <v>208684.87376375901</v>
      </c>
      <c r="AJ35" s="18">
        <v>4.0319337337135497E-2</v>
      </c>
      <c r="AK35" s="13">
        <v>0.24234635942910401</v>
      </c>
      <c r="AL35" s="13">
        <v>0.249863350747868</v>
      </c>
      <c r="AM35" s="13">
        <v>0.17914378585490001</v>
      </c>
      <c r="AN35" s="13">
        <v>8.4541222034246202E-2</v>
      </c>
      <c r="AO35" s="13">
        <v>0.75174423292331904</v>
      </c>
      <c r="AP35" s="13">
        <v>0.40814414613765998</v>
      </c>
      <c r="AQ35" s="13">
        <v>0.108801216500893</v>
      </c>
      <c r="AR35" s="13">
        <v>4.8478200508038298E-2</v>
      </c>
      <c r="AS35" s="13">
        <v>0.73460246599513801</v>
      </c>
      <c r="AT35" s="12">
        <v>0.58869478764671501</v>
      </c>
      <c r="AU35" s="18">
        <v>-5.3491260044743401</v>
      </c>
      <c r="AV35" s="33">
        <v>-3.9876438626377801</v>
      </c>
      <c r="AW35" s="33">
        <v>-8.9765869830362792</v>
      </c>
      <c r="AX35" s="33">
        <v>-6.0184945295467696</v>
      </c>
      <c r="AY35" s="33">
        <v>-3.5966651731217398</v>
      </c>
      <c r="AZ35" s="33">
        <v>-40.5571758682404</v>
      </c>
      <c r="BA35" s="33">
        <v>-11.9173110900767</v>
      </c>
      <c r="BB35" s="33">
        <v>-2.7774709501828898</v>
      </c>
      <c r="BC35" s="33">
        <v>-10.7662074419819</v>
      </c>
      <c r="BD35" s="12">
        <v>-8.7634885434379406</v>
      </c>
      <c r="BE35" s="18"/>
      <c r="BF35" s="33">
        <v>19.904778765937898</v>
      </c>
      <c r="BG35" s="33">
        <v>15.6635445873296</v>
      </c>
      <c r="BH35" s="33">
        <v>19.705059722964101</v>
      </c>
      <c r="BI35" s="33">
        <v>24.220161437386601</v>
      </c>
      <c r="BJ35" s="33">
        <v>13.619173219322001</v>
      </c>
      <c r="BK35" s="33">
        <v>12.1043248292606</v>
      </c>
      <c r="BL35" s="33">
        <v>13.0081533715293</v>
      </c>
      <c r="BM35" s="33">
        <v>20.7768574861377</v>
      </c>
      <c r="BN35" s="12">
        <v>21.205596136185999</v>
      </c>
      <c r="BO35" s="18">
        <v>0.32765566026172099</v>
      </c>
      <c r="BP35" s="13">
        <v>0.88973479292971402</v>
      </c>
      <c r="BQ35" s="13">
        <v>0.80926938676927695</v>
      </c>
      <c r="BR35" s="13">
        <v>0.64767160805826496</v>
      </c>
      <c r="BS35" s="13">
        <v>0.36848901480831497</v>
      </c>
      <c r="BT35" s="13">
        <v>0.99252855434537901</v>
      </c>
      <c r="BU35" s="13">
        <v>0.84266995072612205</v>
      </c>
      <c r="BV35" s="13">
        <v>0.57959535348091995</v>
      </c>
      <c r="BW35" s="13">
        <v>0.368998387545176</v>
      </c>
      <c r="BX35" s="13">
        <v>0.99851124013696502</v>
      </c>
      <c r="BY35" s="12">
        <v>0.98634940500089696</v>
      </c>
      <c r="BZ35" s="18">
        <v>-7.2705840438940204</v>
      </c>
      <c r="CA35" s="13">
        <v>-1.0679922613359101</v>
      </c>
      <c r="CB35" s="13">
        <v>-8.05057087430934</v>
      </c>
      <c r="CC35" s="13">
        <v>22.630795548051498</v>
      </c>
      <c r="CD35" s="13">
        <v>5.2214127354270001</v>
      </c>
      <c r="CE35" s="13">
        <v>-13.0755113816313</v>
      </c>
      <c r="CF35" s="13">
        <v>-5.7026035094810803</v>
      </c>
      <c r="CG35" s="13">
        <v>-4.76529127382969</v>
      </c>
      <c r="CH35" s="13">
        <v>-6.9692872591662196</v>
      </c>
      <c r="CI35" s="12">
        <v>-7.2889441674650701</v>
      </c>
      <c r="CJ35" s="18"/>
      <c r="CK35" s="13">
        <v>279.768815325584</v>
      </c>
      <c r="CL35" s="13">
        <v>216.21013871117299</v>
      </c>
      <c r="CM35" s="13">
        <v>396.08721154018599</v>
      </c>
      <c r="CN35" s="13">
        <v>330.20944059565801</v>
      </c>
      <c r="CO35" s="13">
        <v>256.97270941020099</v>
      </c>
      <c r="CP35" s="13">
        <v>244.99306358441601</v>
      </c>
      <c r="CQ35" s="13">
        <v>194.39962538563199</v>
      </c>
      <c r="CR35" s="13">
        <v>262.14920372948802</v>
      </c>
      <c r="CS35" s="12">
        <v>250.27481302724499</v>
      </c>
      <c r="CT35" s="18">
        <v>0.88735113497145601</v>
      </c>
      <c r="CU35" s="13">
        <v>1</v>
      </c>
      <c r="CV35" s="13">
        <v>0.97557872069691098</v>
      </c>
      <c r="CW35" s="13">
        <v>0.95840455840455796</v>
      </c>
      <c r="CX35" s="13">
        <v>0.89808199835008995</v>
      </c>
      <c r="CY35" s="13">
        <v>1</v>
      </c>
      <c r="CZ35" s="13">
        <v>0.99930887825624604</v>
      </c>
      <c r="DA35" s="13">
        <v>0.986482599942479</v>
      </c>
      <c r="DB35" s="13">
        <v>0.94619435372329097</v>
      </c>
      <c r="DC35" s="13">
        <v>1</v>
      </c>
      <c r="DD35" s="12">
        <v>1</v>
      </c>
      <c r="DE35" s="18">
        <v>-4.6419069436261102</v>
      </c>
      <c r="DF35" s="13">
        <v>-0.537830616861108</v>
      </c>
      <c r="DG35" s="13">
        <v>-2.6671531025628799</v>
      </c>
      <c r="DH35" s="13">
        <v>10.985956995804701</v>
      </c>
      <c r="DI35" s="13">
        <v>2.5584268542265201</v>
      </c>
      <c r="DJ35" s="13">
        <v>-3.9488567498540599</v>
      </c>
      <c r="DK35" s="13">
        <v>0.85465078596118105</v>
      </c>
      <c r="DL35" s="13">
        <v>-2.0757305928294101</v>
      </c>
      <c r="DM35" s="13">
        <v>-1.4395675326206001</v>
      </c>
      <c r="DN35" s="12">
        <v>-1.7638969906241599</v>
      </c>
      <c r="DO35" s="13"/>
      <c r="DP35" s="13">
        <v>1907.4817939401401</v>
      </c>
      <c r="DQ35" s="13">
        <v>1806.4220276942799</v>
      </c>
      <c r="DR35" s="13">
        <v>2287.11267874654</v>
      </c>
      <c r="DS35" s="13">
        <v>2093.2024196488501</v>
      </c>
      <c r="DT35" s="13">
        <v>1878.57140353774</v>
      </c>
      <c r="DU35" s="13">
        <v>2008.8794709010799</v>
      </c>
      <c r="DV35" s="13">
        <v>1872.0178052005199</v>
      </c>
      <c r="DW35" s="13">
        <v>1908.4451102830001</v>
      </c>
      <c r="DX35" s="12">
        <v>1879.1974365989399</v>
      </c>
      <c r="DY35" s="18">
        <v>3.10446936236045</v>
      </c>
      <c r="DZ35" s="13">
        <v>61.782664589164298</v>
      </c>
      <c r="EA35" s="13">
        <v>24.442351939733701</v>
      </c>
      <c r="EB35" s="13">
        <v>6.7060579287563602</v>
      </c>
      <c r="EC35" s="13">
        <v>3.96445617998504</v>
      </c>
      <c r="ED35" s="5">
        <v>78.843255008929304</v>
      </c>
      <c r="EE35" s="12">
        <v>4523</v>
      </c>
    </row>
    <row r="36" spans="1:135" x14ac:dyDescent="0.2">
      <c r="A36" s="30"/>
      <c r="B36" s="5">
        <v>15</v>
      </c>
      <c r="C36" s="12" t="s">
        <v>101</v>
      </c>
      <c r="D36" s="13" t="s">
        <v>71</v>
      </c>
      <c r="E36" s="13" t="str">
        <f t="shared" si="1"/>
        <v>EMT_low</v>
      </c>
      <c r="F36" s="13" t="s">
        <v>72</v>
      </c>
      <c r="G36" s="13" t="s">
        <v>91</v>
      </c>
      <c r="H36" s="13">
        <v>1</v>
      </c>
      <c r="I36" s="13" t="s">
        <v>64</v>
      </c>
      <c r="J36" s="13" t="s">
        <v>77</v>
      </c>
      <c r="K36" s="13" t="s">
        <v>66</v>
      </c>
      <c r="L36" s="13">
        <v>-7.7200000000000005E-2</v>
      </c>
      <c r="M36" s="13">
        <v>22</v>
      </c>
      <c r="N36" s="13">
        <v>-7.5899999999999995E-2</v>
      </c>
      <c r="O36" s="13">
        <v>0.17929999999999999</v>
      </c>
      <c r="P36" s="13" t="s">
        <v>102</v>
      </c>
      <c r="Q36" s="13" t="s">
        <v>68</v>
      </c>
      <c r="R36" s="13">
        <v>8.3332999999999995</v>
      </c>
      <c r="S36" s="13">
        <v>0.89970000000000006</v>
      </c>
      <c r="T36" s="13" t="s">
        <v>73</v>
      </c>
      <c r="U36" s="5">
        <v>3.2</v>
      </c>
      <c r="V36" s="12">
        <v>1</v>
      </c>
      <c r="W36" s="5">
        <v>1899</v>
      </c>
      <c r="X36" s="18">
        <v>650240.65236338601</v>
      </c>
      <c r="Y36" s="13">
        <v>130915.97647217799</v>
      </c>
      <c r="Z36" s="13">
        <v>1276918.1975324899</v>
      </c>
      <c r="AA36" s="13">
        <v>7819.7957730234302</v>
      </c>
      <c r="AB36" s="13">
        <v>70022.373401328005</v>
      </c>
      <c r="AC36" s="13">
        <v>172260.69373428199</v>
      </c>
      <c r="AD36" s="13">
        <v>134670.81796746401</v>
      </c>
      <c r="AE36" s="13">
        <v>239207.28866242999</v>
      </c>
      <c r="AF36" s="13">
        <v>212977.30772891801</v>
      </c>
      <c r="AG36" s="13"/>
      <c r="AH36" s="13">
        <v>440207.27527766099</v>
      </c>
      <c r="AI36" s="12">
        <v>571881.99613071198</v>
      </c>
      <c r="AJ36" s="18">
        <v>0.53732912723449</v>
      </c>
      <c r="AK36" s="13">
        <v>0.14390467461044901</v>
      </c>
      <c r="AL36" s="13">
        <v>0.80202020202020197</v>
      </c>
      <c r="AM36" s="13">
        <v>8.8849400266548008E-3</v>
      </c>
      <c r="AN36" s="13">
        <v>4.2228212039532698E-2</v>
      </c>
      <c r="AO36" s="13">
        <v>0.12258064516129</v>
      </c>
      <c r="AP36" s="13">
        <v>0.100274725274725</v>
      </c>
      <c r="AQ36" s="13">
        <v>0.124709167054443</v>
      </c>
      <c r="AR36" s="13"/>
      <c r="AS36" s="13">
        <v>0.59157049673858497</v>
      </c>
      <c r="AT36" s="12">
        <v>0.74095437860513802</v>
      </c>
      <c r="AU36" s="18">
        <v>-10.290687164832001</v>
      </c>
      <c r="AV36" s="33">
        <v>-4.4920886922020902</v>
      </c>
      <c r="AW36" s="33">
        <v>-9.6999705045557505</v>
      </c>
      <c r="AX36" s="33">
        <v>1.5972417169489901</v>
      </c>
      <c r="AY36" s="33">
        <v>12.2620576172511</v>
      </c>
      <c r="AZ36" s="33">
        <v>-1.7216016931069</v>
      </c>
      <c r="BA36" s="33">
        <v>3.1892863698635501</v>
      </c>
      <c r="BB36" s="33"/>
      <c r="BC36" s="33">
        <v>-0.32224554331420302</v>
      </c>
      <c r="BD36" s="12">
        <v>-3.3354716744423198</v>
      </c>
      <c r="BE36" s="18">
        <v>0.64005681818181803</v>
      </c>
      <c r="BF36" s="33">
        <v>1.34107142857142</v>
      </c>
      <c r="BG36" s="33">
        <v>4.68764629388816</v>
      </c>
      <c r="BH36" s="33"/>
      <c r="BI36" s="33">
        <v>57.474489795918302</v>
      </c>
      <c r="BJ36" s="33">
        <v>8.4295918367346907</v>
      </c>
      <c r="BK36" s="33">
        <v>18.698367346938699</v>
      </c>
      <c r="BL36" s="33"/>
      <c r="BM36" s="33">
        <v>11.715106732348101</v>
      </c>
      <c r="BN36" s="12">
        <v>8.2551255660765701</v>
      </c>
      <c r="BO36" s="18">
        <v>0.96740273396424803</v>
      </c>
      <c r="BP36" s="13">
        <v>0.86296975252062302</v>
      </c>
      <c r="BQ36" s="13">
        <v>0.99259259259259203</v>
      </c>
      <c r="BR36" s="13">
        <v>6.7525544202576601E-2</v>
      </c>
      <c r="BS36" s="13">
        <v>0.19496855345911901</v>
      </c>
      <c r="BT36" s="13">
        <v>0.577880184331797</v>
      </c>
      <c r="BU36" s="13">
        <v>0.45787545787545703</v>
      </c>
      <c r="BV36" s="13">
        <v>0.66309911586784498</v>
      </c>
      <c r="BW36" s="13"/>
      <c r="BX36" s="13">
        <v>0.99949824385348696</v>
      </c>
      <c r="BY36" s="12">
        <v>0.99790246460409004</v>
      </c>
      <c r="BZ36" s="18">
        <v>-10.5053738236359</v>
      </c>
      <c r="CA36" s="13">
        <v>-8.0310343822893095</v>
      </c>
      <c r="CB36" s="13">
        <v>-7.8579971980754797</v>
      </c>
      <c r="CC36" s="13">
        <v>9.63275064999028</v>
      </c>
      <c r="CD36" s="13">
        <v>24.745804598311199</v>
      </c>
      <c r="CE36" s="13">
        <v>11.4414988378954</v>
      </c>
      <c r="CF36" s="13">
        <v>11.7068734703833</v>
      </c>
      <c r="CG36" s="13"/>
      <c r="CH36" s="13">
        <v>1.73542031272265</v>
      </c>
      <c r="CI36" s="12">
        <v>-3.0442902276204298</v>
      </c>
      <c r="CJ36" s="18">
        <v>67.571712662337603</v>
      </c>
      <c r="CK36" s="13">
        <v>52.3017857142857</v>
      </c>
      <c r="CL36" s="13">
        <v>90.697584989782598</v>
      </c>
      <c r="CM36" s="13"/>
      <c r="CN36" s="13">
        <v>490.832142857142</v>
      </c>
      <c r="CO36" s="13">
        <v>231.81377551020401</v>
      </c>
      <c r="CP36" s="13">
        <v>227.44571428571399</v>
      </c>
      <c r="CQ36" s="13"/>
      <c r="CR36" s="13">
        <v>139.47142857142799</v>
      </c>
      <c r="CS36" s="12">
        <v>111.490572251955</v>
      </c>
      <c r="CT36" s="18">
        <v>1</v>
      </c>
      <c r="CU36" s="13">
        <v>1</v>
      </c>
      <c r="CV36" s="13">
        <v>1</v>
      </c>
      <c r="CW36" s="13">
        <v>0.50111061750333097</v>
      </c>
      <c r="CX36" s="13">
        <v>0.63656783468104206</v>
      </c>
      <c r="CY36" s="13">
        <v>0.93548387096774199</v>
      </c>
      <c r="CZ36" s="13">
        <v>0.93269230769230704</v>
      </c>
      <c r="DA36" s="13">
        <v>1</v>
      </c>
      <c r="DB36" s="13"/>
      <c r="DC36" s="13">
        <v>1</v>
      </c>
      <c r="DD36" s="12">
        <v>1</v>
      </c>
      <c r="DE36" s="18">
        <v>-1.2666553070319699</v>
      </c>
      <c r="DF36" s="13">
        <v>-7.6759155423505998</v>
      </c>
      <c r="DG36" s="13">
        <v>-3.6577724767052202</v>
      </c>
      <c r="DH36" s="13">
        <v>5.3208542684121101</v>
      </c>
      <c r="DI36" s="13">
        <v>4.6696025460124604</v>
      </c>
      <c r="DJ36" s="13">
        <v>3.6562835112564001</v>
      </c>
      <c r="DK36" s="13">
        <v>3.8507017900407901</v>
      </c>
      <c r="DL36" s="13"/>
      <c r="DM36" s="13">
        <v>-1.9132376536756699</v>
      </c>
      <c r="DN36" s="12">
        <v>-3.85693315396442</v>
      </c>
      <c r="DO36" s="13">
        <v>825.03323863636297</v>
      </c>
      <c r="DP36" s="13">
        <v>510.94821428571402</v>
      </c>
      <c r="DQ36" s="13">
        <v>747.47031395132797</v>
      </c>
      <c r="DR36" s="13"/>
      <c r="DS36" s="13">
        <v>1179.37653061224</v>
      </c>
      <c r="DT36" s="13">
        <v>1031.4755102040799</v>
      </c>
      <c r="DU36" s="13">
        <v>1029.94285714285</v>
      </c>
      <c r="DV36" s="13"/>
      <c r="DW36" s="13">
        <v>800.32676518883397</v>
      </c>
      <c r="DX36" s="12">
        <v>732.20181144503897</v>
      </c>
      <c r="DY36" s="18">
        <v>9.6551724137930997</v>
      </c>
      <c r="DZ36" s="13">
        <v>28.965517241379299</v>
      </c>
      <c r="EA36" s="13">
        <v>24.137931034482701</v>
      </c>
      <c r="EB36" s="13">
        <v>1.03448275862068</v>
      </c>
      <c r="EC36" s="13">
        <v>36.2068965517241</v>
      </c>
      <c r="ED36" s="5">
        <v>13.8689622190339</v>
      </c>
      <c r="EE36" s="12">
        <v>2091</v>
      </c>
    </row>
    <row r="37" spans="1:135" x14ac:dyDescent="0.2">
      <c r="A37" s="30"/>
      <c r="B37" s="5">
        <v>16</v>
      </c>
      <c r="C37" s="12" t="s">
        <v>103</v>
      </c>
      <c r="D37" s="13" t="s">
        <v>62</v>
      </c>
      <c r="E37" s="13" t="str">
        <f t="shared" si="1"/>
        <v>EMT_low</v>
      </c>
      <c r="F37" s="13" t="s">
        <v>63</v>
      </c>
      <c r="G37" s="13" t="s">
        <v>64</v>
      </c>
      <c r="H37" s="13">
        <v>1</v>
      </c>
      <c r="I37" s="13" t="s">
        <v>64</v>
      </c>
      <c r="J37" s="13" t="s">
        <v>65</v>
      </c>
      <c r="K37" s="13" t="s">
        <v>66</v>
      </c>
      <c r="L37" s="13">
        <v>7.3499999999999996E-2</v>
      </c>
      <c r="M37" s="13">
        <v>47</v>
      </c>
      <c r="N37" s="13">
        <v>0.17960000000000001</v>
      </c>
      <c r="O37" s="13">
        <v>-0.44640000000000002</v>
      </c>
      <c r="P37" s="13" t="s">
        <v>104</v>
      </c>
      <c r="Q37" s="13" t="s">
        <v>68</v>
      </c>
      <c r="R37" s="13">
        <v>69.154300000000006</v>
      </c>
      <c r="S37" s="13">
        <v>35.257199999999997</v>
      </c>
      <c r="T37" s="13" t="s">
        <v>73</v>
      </c>
      <c r="U37" s="5">
        <v>3.16</v>
      </c>
      <c r="V37" s="12">
        <v>0</v>
      </c>
      <c r="W37" s="5">
        <v>1625</v>
      </c>
      <c r="X37" s="18"/>
      <c r="Y37" s="13">
        <v>56924.856642080696</v>
      </c>
      <c r="Z37" s="13">
        <v>75920.140008866496</v>
      </c>
      <c r="AA37" s="13">
        <v>625795.32385967299</v>
      </c>
      <c r="AB37" s="13">
        <v>214477.09561370901</v>
      </c>
      <c r="AC37" s="13">
        <v>1950558.2211040901</v>
      </c>
      <c r="AD37" s="13">
        <v>65097.8030876794</v>
      </c>
      <c r="AE37" s="13">
        <v>479101.76676639798</v>
      </c>
      <c r="AF37" s="13">
        <v>50203.146740173099</v>
      </c>
      <c r="AG37" s="13"/>
      <c r="AH37" s="13">
        <v>118248.90834808801</v>
      </c>
      <c r="AI37" s="12">
        <v>21367.642246272499</v>
      </c>
      <c r="AJ37" s="18"/>
      <c r="AK37" s="13">
        <v>0.140277047168157</v>
      </c>
      <c r="AL37" s="13">
        <v>0.107927579539462</v>
      </c>
      <c r="AM37" s="13">
        <v>0.46933667083854802</v>
      </c>
      <c r="AN37" s="13">
        <v>0.19212366580787599</v>
      </c>
      <c r="AO37" s="13">
        <v>0.837039737513671</v>
      </c>
      <c r="AP37" s="13">
        <v>5.7513589338944397E-2</v>
      </c>
      <c r="AQ37" s="13">
        <v>4.1208311506897098E-2</v>
      </c>
      <c r="AR37" s="13"/>
      <c r="AS37" s="13">
        <v>0.51649723559835903</v>
      </c>
      <c r="AT37" s="12">
        <v>0.14849591375412899</v>
      </c>
      <c r="AU37" s="18"/>
      <c r="AV37" s="33">
        <v>-3.3961658483941299</v>
      </c>
      <c r="AW37" s="33">
        <v>-2.69053733805216</v>
      </c>
      <c r="AX37" s="33">
        <v>-2.7489050125550398</v>
      </c>
      <c r="AY37" s="33">
        <v>-3.4168577679635899</v>
      </c>
      <c r="AZ37" s="33">
        <v>-17.3997146738797</v>
      </c>
      <c r="BA37" s="33">
        <v>-5.0586070590583798</v>
      </c>
      <c r="BB37" s="33"/>
      <c r="BC37" s="33">
        <v>-0.32178021479746099</v>
      </c>
      <c r="BD37" s="12">
        <v>-1.21519223958377</v>
      </c>
      <c r="BE37" s="18"/>
      <c r="BF37" s="33">
        <v>13.4359123239947</v>
      </c>
      <c r="BG37" s="33">
        <v>17.963607005340901</v>
      </c>
      <c r="BH37" s="33">
        <v>26.488352603964199</v>
      </c>
      <c r="BI37" s="33">
        <v>21.9788814348302</v>
      </c>
      <c r="BJ37" s="33">
        <v>12.2310734888287</v>
      </c>
      <c r="BK37" s="33">
        <v>0</v>
      </c>
      <c r="BL37" s="33"/>
      <c r="BM37" s="33">
        <v>29.9821632900316</v>
      </c>
      <c r="BN37" s="12">
        <v>21.9053356282271</v>
      </c>
      <c r="BO37" s="18"/>
      <c r="BP37" s="13">
        <v>0.781518499035595</v>
      </c>
      <c r="BQ37" s="13">
        <v>0.66426436983652604</v>
      </c>
      <c r="BR37" s="13">
        <v>0.96287025448477204</v>
      </c>
      <c r="BS37" s="13">
        <v>0.77751196172248804</v>
      </c>
      <c r="BT37" s="13">
        <v>1</v>
      </c>
      <c r="BU37" s="13">
        <v>0.38295633876906798</v>
      </c>
      <c r="BV37" s="13">
        <v>0.28810895756940802</v>
      </c>
      <c r="BW37" s="13"/>
      <c r="BX37" s="13">
        <v>0.99500624219725298</v>
      </c>
      <c r="BY37" s="12">
        <v>0.77934272300469398</v>
      </c>
      <c r="BZ37" s="18"/>
      <c r="CA37" s="13">
        <v>0.40015975297450501</v>
      </c>
      <c r="CB37" s="13">
        <v>-0.67095284248188203</v>
      </c>
      <c r="CC37" s="13">
        <v>1.2890432848670601</v>
      </c>
      <c r="CD37" s="13">
        <v>-3.54906422160097</v>
      </c>
      <c r="CE37" s="13">
        <v>-0.89945610853098701</v>
      </c>
      <c r="CF37" s="13">
        <v>-6.8912861549035398</v>
      </c>
      <c r="CG37" s="13"/>
      <c r="CH37" s="13">
        <v>1.95797520998485</v>
      </c>
      <c r="CI37" s="12">
        <v>1.6742939088264099</v>
      </c>
      <c r="CJ37" s="18"/>
      <c r="CK37" s="13">
        <v>328.34010741762199</v>
      </c>
      <c r="CL37" s="13">
        <v>307.53695193143699</v>
      </c>
      <c r="CM37" s="13">
        <v>332.26371210649</v>
      </c>
      <c r="CN37" s="13">
        <v>278.59717278203698</v>
      </c>
      <c r="CO37" s="13">
        <v>313.03760556521098</v>
      </c>
      <c r="CP37" s="13">
        <v>163.02430059219901</v>
      </c>
      <c r="CQ37" s="13"/>
      <c r="CR37" s="13">
        <v>348.493975903614</v>
      </c>
      <c r="CS37" s="12">
        <v>368.40791738382097</v>
      </c>
      <c r="CT37" s="18"/>
      <c r="CU37" s="13">
        <v>1</v>
      </c>
      <c r="CV37" s="13">
        <v>1</v>
      </c>
      <c r="CW37" s="13">
        <v>1</v>
      </c>
      <c r="CX37" s="13">
        <v>1</v>
      </c>
      <c r="CY37" s="13">
        <v>1</v>
      </c>
      <c r="CZ37" s="13">
        <v>0.96247588988251798</v>
      </c>
      <c r="DA37" s="13">
        <v>0.89139165357080496</v>
      </c>
      <c r="DB37" s="13"/>
      <c r="DC37" s="13">
        <v>1</v>
      </c>
      <c r="DD37" s="12">
        <v>1</v>
      </c>
      <c r="DE37" s="18"/>
      <c r="DF37" s="13">
        <v>4.5335725230039401</v>
      </c>
      <c r="DG37" s="13">
        <v>8.6339725729409196</v>
      </c>
      <c r="DH37" s="13">
        <v>-2.1639907469617099</v>
      </c>
      <c r="DI37" s="13">
        <v>-2.9036903096711302</v>
      </c>
      <c r="DJ37" s="13">
        <v>2.3692990474092901</v>
      </c>
      <c r="DK37" s="13">
        <v>14.7798758175727</v>
      </c>
      <c r="DL37" s="13"/>
      <c r="DM37" s="13">
        <v>1.28291876620064</v>
      </c>
      <c r="DN37" s="12">
        <v>0.90591388850816001</v>
      </c>
      <c r="DO37" s="13"/>
      <c r="DP37" s="13">
        <v>2428.5411525620498</v>
      </c>
      <c r="DQ37" s="13">
        <v>2752.7431374984399</v>
      </c>
      <c r="DR37" s="13">
        <v>1922.68904246016</v>
      </c>
      <c r="DS37" s="13">
        <v>1864.8387869660401</v>
      </c>
      <c r="DT37" s="13">
        <v>2175.1154733953799</v>
      </c>
      <c r="DU37" s="13">
        <v>3416.42229936695</v>
      </c>
      <c r="DV37" s="13"/>
      <c r="DW37" s="13">
        <v>2131.8486235444502</v>
      </c>
      <c r="DX37" s="12">
        <v>2146.7228915662599</v>
      </c>
      <c r="DY37" s="18">
        <v>7.7721351291675802</v>
      </c>
      <c r="DZ37" s="13">
        <v>66.858026054316596</v>
      </c>
      <c r="EA37" s="13">
        <v>1.83263413557076</v>
      </c>
      <c r="EB37" s="13">
        <v>22.2344888496356</v>
      </c>
      <c r="EC37" s="13">
        <v>1.3027158313093301</v>
      </c>
      <c r="ED37" s="5">
        <v>91.9967499492179</v>
      </c>
      <c r="EE37" s="12">
        <v>4923</v>
      </c>
    </row>
    <row r="38" spans="1:135" x14ac:dyDescent="0.2">
      <c r="A38" s="30"/>
      <c r="B38" s="5">
        <v>17</v>
      </c>
      <c r="C38" s="12" t="s">
        <v>105</v>
      </c>
      <c r="D38" s="13" t="s">
        <v>71</v>
      </c>
      <c r="E38" s="13" t="str">
        <f t="shared" si="1"/>
        <v>EMT_low</v>
      </c>
      <c r="F38" s="13"/>
      <c r="G38" s="13" t="s">
        <v>64</v>
      </c>
      <c r="H38" s="13">
        <v>1</v>
      </c>
      <c r="I38" s="13" t="s">
        <v>64</v>
      </c>
      <c r="J38" s="13" t="s">
        <v>65</v>
      </c>
      <c r="K38" s="13" t="s">
        <v>80</v>
      </c>
      <c r="L38" s="13">
        <v>5.0000000000000001E-3</v>
      </c>
      <c r="M38" s="13">
        <v>205</v>
      </c>
      <c r="N38" s="13">
        <v>-0.33610000000000001</v>
      </c>
      <c r="O38" s="13">
        <v>-8.1100000000000005E-2</v>
      </c>
      <c r="P38" s="13" t="s">
        <v>106</v>
      </c>
      <c r="Q38" s="13" t="s">
        <v>68</v>
      </c>
      <c r="R38" s="13">
        <v>21.6568</v>
      </c>
      <c r="S38" s="13">
        <v>4.5331000000000001</v>
      </c>
      <c r="T38" s="13" t="s">
        <v>69</v>
      </c>
      <c r="U38" s="5">
        <v>5.79</v>
      </c>
      <c r="V38" s="12">
        <v>0</v>
      </c>
      <c r="W38" s="5">
        <v>3119</v>
      </c>
      <c r="X38" s="18">
        <v>17136.5639773326</v>
      </c>
      <c r="Y38" s="13">
        <v>192835.339176318</v>
      </c>
      <c r="Z38" s="13">
        <v>451324.22612554301</v>
      </c>
      <c r="AA38" s="13">
        <v>305913.57218188199</v>
      </c>
      <c r="AB38" s="13">
        <v>359251.30749691202</v>
      </c>
      <c r="AC38" s="13">
        <v>878544.20841463096</v>
      </c>
      <c r="AD38" s="13">
        <v>416453.00826850702</v>
      </c>
      <c r="AE38" s="13">
        <v>720910.97972698999</v>
      </c>
      <c r="AF38" s="13">
        <v>130647.895525803</v>
      </c>
      <c r="AG38" s="13">
        <v>0</v>
      </c>
      <c r="AH38" s="13">
        <v>270133.70431512297</v>
      </c>
      <c r="AI38" s="12">
        <v>307628.515474435</v>
      </c>
      <c r="AJ38" s="18">
        <v>1.1340893929286101E-2</v>
      </c>
      <c r="AK38" s="13">
        <v>0.23529411764705799</v>
      </c>
      <c r="AL38" s="13">
        <v>0.37621540762902</v>
      </c>
      <c r="AM38" s="13">
        <v>0.18032786885245899</v>
      </c>
      <c r="AN38" s="13">
        <v>0.190130624092888</v>
      </c>
      <c r="AO38" s="13">
        <v>0.38337574215436798</v>
      </c>
      <c r="AP38" s="13">
        <v>0.208734270910436</v>
      </c>
      <c r="AQ38" s="13">
        <v>7.18685831622176E-2</v>
      </c>
      <c r="AR38" s="13">
        <v>3.3244680851063002E-3</v>
      </c>
      <c r="AS38" s="13">
        <v>0.37205987170349197</v>
      </c>
      <c r="AT38" s="12">
        <v>0.25017818959372701</v>
      </c>
      <c r="AU38" s="18">
        <v>-2.3039519240436399</v>
      </c>
      <c r="AV38" s="33">
        <v>-5.5061588233775103</v>
      </c>
      <c r="AW38" s="33">
        <v>-8.3006837111907306</v>
      </c>
      <c r="AX38" s="33">
        <v>0.35242267096574897</v>
      </c>
      <c r="AY38" s="33">
        <v>-2.8278465333883198</v>
      </c>
      <c r="AZ38" s="33">
        <v>-8.8692698001896506</v>
      </c>
      <c r="BA38" s="33">
        <v>-4.1127765803064102</v>
      </c>
      <c r="BB38" s="33">
        <v>-0.964681600725389</v>
      </c>
      <c r="BC38" s="33">
        <v>-1.27960853351366</v>
      </c>
      <c r="BD38" s="12">
        <v>-5.8992525513943397</v>
      </c>
      <c r="BE38" s="18"/>
      <c r="BF38" s="33">
        <v>3.0440209141507801</v>
      </c>
      <c r="BG38" s="33">
        <v>3.1972789115646201</v>
      </c>
      <c r="BH38" s="33">
        <v>9.8619811560987998</v>
      </c>
      <c r="BI38" s="33">
        <v>7.0747520196339098</v>
      </c>
      <c r="BJ38" s="33">
        <v>4.2540036650466098</v>
      </c>
      <c r="BK38" s="33">
        <v>3.5513577331759101</v>
      </c>
      <c r="BL38" s="33"/>
      <c r="BM38" s="33">
        <v>8.2342755283931695</v>
      </c>
      <c r="BN38" s="12">
        <v>3.6384008148714</v>
      </c>
      <c r="BO38" s="18">
        <v>0.21280853902601701</v>
      </c>
      <c r="BP38" s="13">
        <v>0.90616246498599395</v>
      </c>
      <c r="BQ38" s="13">
        <v>0.96185489902767296</v>
      </c>
      <c r="BR38" s="13">
        <v>0.69636493228795404</v>
      </c>
      <c r="BS38" s="13">
        <v>0.64441219158200203</v>
      </c>
      <c r="BT38" s="13">
        <v>0.884648006785411</v>
      </c>
      <c r="BU38" s="13">
        <v>0.74241302738712001</v>
      </c>
      <c r="BV38" s="13">
        <v>0.47570157426420201</v>
      </c>
      <c r="BW38" s="13">
        <v>4.3218085106382899E-2</v>
      </c>
      <c r="BX38" s="13">
        <v>0.98431931575195997</v>
      </c>
      <c r="BY38" s="12">
        <v>0.79686386315039204</v>
      </c>
      <c r="BZ38" s="18">
        <v>-3.41836462316253</v>
      </c>
      <c r="CA38" s="13">
        <v>-6.4397292969232103</v>
      </c>
      <c r="CB38" s="13">
        <v>-10.197439516587499</v>
      </c>
      <c r="CC38" s="13">
        <v>5.52781197459709</v>
      </c>
      <c r="CD38" s="13">
        <v>16.150518547810599</v>
      </c>
      <c r="CE38" s="13">
        <v>5.0406419939748703</v>
      </c>
      <c r="CF38" s="13">
        <v>9.6678845322246598</v>
      </c>
      <c r="CG38" s="13">
        <v>-2.36388811171132</v>
      </c>
      <c r="CH38" s="13">
        <v>-7.8959237272016898</v>
      </c>
      <c r="CI38" s="12">
        <v>-13.8668261548523</v>
      </c>
      <c r="CJ38" s="18"/>
      <c r="CK38" s="13">
        <v>59.738910440209096</v>
      </c>
      <c r="CL38" s="13">
        <v>53.946815089672199</v>
      </c>
      <c r="CM38" s="13">
        <v>112.694677871148</v>
      </c>
      <c r="CN38" s="13">
        <v>151.72267102975701</v>
      </c>
      <c r="CO38" s="13">
        <v>103.833638753884</v>
      </c>
      <c r="CP38" s="13">
        <v>151.154663518299</v>
      </c>
      <c r="CQ38" s="13"/>
      <c r="CR38" s="13">
        <v>57.544181308887197</v>
      </c>
      <c r="CS38" s="12">
        <v>32.1711229946524</v>
      </c>
      <c r="CT38" s="18">
        <v>0.77785190126751103</v>
      </c>
      <c r="CU38" s="13">
        <v>1</v>
      </c>
      <c r="CV38" s="13">
        <v>1</v>
      </c>
      <c r="CW38" s="13">
        <v>1</v>
      </c>
      <c r="CX38" s="13">
        <v>0.92743105950653104</v>
      </c>
      <c r="CY38" s="13">
        <v>1</v>
      </c>
      <c r="CZ38" s="13">
        <v>0.94744633604737205</v>
      </c>
      <c r="DA38" s="13">
        <v>0.95208761122518804</v>
      </c>
      <c r="DB38" s="13">
        <v>0.35904255319148898</v>
      </c>
      <c r="DC38" s="13">
        <v>1</v>
      </c>
      <c r="DD38" s="12">
        <v>1</v>
      </c>
      <c r="DE38" s="18">
        <v>-1.9918984947915801</v>
      </c>
      <c r="DF38" s="13">
        <v>-6.0155649063559498</v>
      </c>
      <c r="DG38" s="13">
        <v>-7.4683159163743298</v>
      </c>
      <c r="DH38" s="13">
        <v>6.5044228999548199</v>
      </c>
      <c r="DI38" s="13">
        <v>7.9746960722660596</v>
      </c>
      <c r="DJ38" s="13">
        <v>5.1950525824559897</v>
      </c>
      <c r="DK38" s="13">
        <v>4.5935242631229496</v>
      </c>
      <c r="DL38" s="13">
        <v>-1.4634337319094299</v>
      </c>
      <c r="DM38" s="13">
        <v>-4.3200455267618798</v>
      </c>
      <c r="DN38" s="12">
        <v>-14.7539551498961</v>
      </c>
      <c r="DO38" s="13"/>
      <c r="DP38" s="13">
        <v>462.18384213189398</v>
      </c>
      <c r="DQ38" s="13">
        <v>463.83797155225699</v>
      </c>
      <c r="DR38" s="13">
        <v>731.31856378915199</v>
      </c>
      <c r="DS38" s="13">
        <v>751.76930156457695</v>
      </c>
      <c r="DT38" s="13">
        <v>676.05704724723103</v>
      </c>
      <c r="DU38" s="13">
        <v>736.01889020070803</v>
      </c>
      <c r="DV38" s="13"/>
      <c r="DW38" s="13">
        <v>506.02495543672001</v>
      </c>
      <c r="DX38" s="12">
        <v>292.02953908836201</v>
      </c>
      <c r="DY38" s="18">
        <v>16.865869853917602</v>
      </c>
      <c r="DZ38" s="13">
        <v>43.293492695883103</v>
      </c>
      <c r="EA38" s="13">
        <v>20.451527224435502</v>
      </c>
      <c r="EB38" s="13">
        <v>13.545816733067699</v>
      </c>
      <c r="EC38" s="13">
        <v>5.8432934926958797</v>
      </c>
      <c r="ED38" s="5">
        <v>62.282878411910602</v>
      </c>
      <c r="EE38" s="12">
        <v>1209</v>
      </c>
    </row>
    <row r="39" spans="1:135" x14ac:dyDescent="0.2">
      <c r="A39" s="30"/>
      <c r="B39" s="5">
        <v>19</v>
      </c>
      <c r="C39" s="12" t="s">
        <v>109</v>
      </c>
      <c r="D39" s="13" t="s">
        <v>62</v>
      </c>
      <c r="E39" s="13" t="str">
        <f t="shared" si="1"/>
        <v>EMT_low</v>
      </c>
      <c r="F39" s="13" t="s">
        <v>72</v>
      </c>
      <c r="G39" s="13" t="s">
        <v>91</v>
      </c>
      <c r="H39" s="13">
        <v>1</v>
      </c>
      <c r="I39" s="13"/>
      <c r="J39" s="13" t="s">
        <v>65</v>
      </c>
      <c r="K39" s="13" t="s">
        <v>66</v>
      </c>
      <c r="L39" s="13">
        <v>0.33900000000000002</v>
      </c>
      <c r="M39" s="13">
        <v>175</v>
      </c>
      <c r="N39" s="13">
        <v>-2.5000000000000001E-2</v>
      </c>
      <c r="O39" s="13">
        <v>0.33710000000000001</v>
      </c>
      <c r="P39" s="13" t="s">
        <v>110</v>
      </c>
      <c r="Q39" s="13" t="s">
        <v>68</v>
      </c>
      <c r="R39" s="13">
        <v>64.601699999999994</v>
      </c>
      <c r="S39" s="13">
        <v>27.7714</v>
      </c>
      <c r="T39" s="13" t="s">
        <v>69</v>
      </c>
      <c r="U39" s="5">
        <v>9.5</v>
      </c>
      <c r="V39" s="12">
        <v>0</v>
      </c>
      <c r="W39" s="5">
        <v>2823</v>
      </c>
      <c r="X39" s="18">
        <v>2678.8525251184701</v>
      </c>
      <c r="Y39" s="13">
        <v>86532.465824126397</v>
      </c>
      <c r="Z39" s="13">
        <v>170596.98905335</v>
      </c>
      <c r="AA39" s="13">
        <v>1076622.1191070201</v>
      </c>
      <c r="AB39" s="13">
        <v>1412009.2949721899</v>
      </c>
      <c r="AC39" s="13">
        <v>220418.18419055999</v>
      </c>
      <c r="AD39" s="13">
        <v>259606.65955500101</v>
      </c>
      <c r="AE39" s="13">
        <v>378465.225230271</v>
      </c>
      <c r="AF39" s="13">
        <v>44374.237725187602</v>
      </c>
      <c r="AG39" s="13">
        <v>4734.7378907480197</v>
      </c>
      <c r="AH39" s="13">
        <v>251460.75234707599</v>
      </c>
      <c r="AI39" s="12">
        <v>124717.01980361799</v>
      </c>
      <c r="AJ39" s="18">
        <v>1.0959919748871399E-2</v>
      </c>
      <c r="AK39" s="13">
        <v>0.22442090645438301</v>
      </c>
      <c r="AL39" s="13">
        <v>0.26626774050746599</v>
      </c>
      <c r="AM39" s="13">
        <v>0.672821850913353</v>
      </c>
      <c r="AN39" s="13">
        <v>0.75996351043259402</v>
      </c>
      <c r="AO39" s="13">
        <v>0.148304354553707</v>
      </c>
      <c r="AP39" s="13">
        <v>0.22340190223401901</v>
      </c>
      <c r="AQ39" s="13">
        <v>4.4320453613620997E-2</v>
      </c>
      <c r="AR39" s="13">
        <v>2.5094102885821002E-3</v>
      </c>
      <c r="AS39" s="13">
        <v>0.69386248733234801</v>
      </c>
      <c r="AT39" s="12">
        <v>0.50692329332332997</v>
      </c>
      <c r="AU39" s="18">
        <v>-2.4560361465021501</v>
      </c>
      <c r="AV39" s="33">
        <v>-7.00031260307341</v>
      </c>
      <c r="AW39" s="33">
        <v>14.9581885690605</v>
      </c>
      <c r="AX39" s="33">
        <v>-10.7805923416337</v>
      </c>
      <c r="AY39" s="33">
        <v>-23.115192990332002</v>
      </c>
      <c r="AZ39" s="33">
        <v>-3.2924757851459101</v>
      </c>
      <c r="BA39" s="33">
        <v>-3.5569061901233701</v>
      </c>
      <c r="BB39" s="33">
        <v>-2.3679731918660498</v>
      </c>
      <c r="BC39" s="33">
        <v>9.2300080212411793</v>
      </c>
      <c r="BD39" s="12">
        <v>0.59422256672697904</v>
      </c>
      <c r="BE39" s="18"/>
      <c r="BF39" s="33">
        <v>16.466714133143402</v>
      </c>
      <c r="BG39" s="33">
        <v>51.648921832884099</v>
      </c>
      <c r="BH39" s="33">
        <v>21.686817835688299</v>
      </c>
      <c r="BI39" s="33">
        <v>12.2551738140472</v>
      </c>
      <c r="BJ39" s="33">
        <v>25.9117364886472</v>
      </c>
      <c r="BK39" s="33">
        <v>20.699033594109501</v>
      </c>
      <c r="BL39" s="33"/>
      <c r="BM39" s="33">
        <v>45.176639013288302</v>
      </c>
      <c r="BN39" s="12">
        <v>31.731825749167498</v>
      </c>
      <c r="BO39" s="18">
        <v>0.101883431433671</v>
      </c>
      <c r="BP39" s="13">
        <v>0.885261393091759</v>
      </c>
      <c r="BQ39" s="13">
        <v>0.70521241721471895</v>
      </c>
      <c r="BR39" s="13">
        <v>0.99346575685107896</v>
      </c>
      <c r="BS39" s="13">
        <v>0.99583931133428905</v>
      </c>
      <c r="BT39" s="13">
        <v>0.54847298668247002</v>
      </c>
      <c r="BU39" s="13">
        <v>0.68546781685467795</v>
      </c>
      <c r="BV39" s="13">
        <v>0.28989842997625698</v>
      </c>
      <c r="BW39" s="13">
        <v>2.82308657465495E-2</v>
      </c>
      <c r="BX39" s="13">
        <v>0.99116802826230899</v>
      </c>
      <c r="BY39" s="12">
        <v>0.98755324247728504</v>
      </c>
      <c r="BZ39" s="18">
        <v>1.4316223378711199</v>
      </c>
      <c r="CA39" s="13">
        <v>-5.6344075095217896</v>
      </c>
      <c r="CB39" s="13">
        <v>25.146159791266999</v>
      </c>
      <c r="CC39" s="13">
        <v>15.8815268280618</v>
      </c>
      <c r="CD39" s="13">
        <v>-14.692452821862799</v>
      </c>
      <c r="CE39" s="13">
        <v>5.6557537861346097</v>
      </c>
      <c r="CF39" s="13">
        <v>-1.2893925901282099</v>
      </c>
      <c r="CG39" s="13">
        <v>-5.4192725076691302</v>
      </c>
      <c r="CH39" s="13">
        <v>20.759166440467901</v>
      </c>
      <c r="CI39" s="12">
        <v>12.140005131794201</v>
      </c>
      <c r="CJ39" s="18"/>
      <c r="CK39" s="13">
        <v>251.31612673549299</v>
      </c>
      <c r="CL39" s="13">
        <v>494.73921832884099</v>
      </c>
      <c r="CM39" s="13">
        <v>391.28039597258601</v>
      </c>
      <c r="CN39" s="13">
        <v>229.21199947790501</v>
      </c>
      <c r="CO39" s="13">
        <v>349.75743524144502</v>
      </c>
      <c r="CP39" s="13">
        <v>291.107685227795</v>
      </c>
      <c r="CQ39" s="13"/>
      <c r="CR39" s="13">
        <v>469.89325306512001</v>
      </c>
      <c r="CS39" s="12">
        <v>431.63249167591499</v>
      </c>
      <c r="CT39" s="18">
        <v>0.60535857795916903</v>
      </c>
      <c r="CU39" s="13">
        <v>1</v>
      </c>
      <c r="CV39" s="13">
        <v>0.96674022698612805</v>
      </c>
      <c r="CW39" s="13">
        <v>1</v>
      </c>
      <c r="CX39" s="13">
        <v>1</v>
      </c>
      <c r="CY39" s="13">
        <v>0.950265320221926</v>
      </c>
      <c r="CZ39" s="13">
        <v>0.97279362972793604</v>
      </c>
      <c r="DA39" s="13">
        <v>0.648503343090857</v>
      </c>
      <c r="DB39" s="13">
        <v>0.243203680468423</v>
      </c>
      <c r="DC39" s="13">
        <v>1</v>
      </c>
      <c r="DD39" s="12">
        <v>1</v>
      </c>
      <c r="DE39" s="18">
        <v>4.5804939683299803</v>
      </c>
      <c r="DF39" s="13">
        <v>0.42891352674942401</v>
      </c>
      <c r="DG39" s="13">
        <v>12.655892119221599</v>
      </c>
      <c r="DH39" s="13">
        <v>4.9337614261572602</v>
      </c>
      <c r="DI39" s="13">
        <v>-10.2479549841573</v>
      </c>
      <c r="DJ39" s="13">
        <v>16.514487928850301</v>
      </c>
      <c r="DK39" s="13">
        <v>8.9474372182842199</v>
      </c>
      <c r="DL39" s="13">
        <v>-0.42033460604869999</v>
      </c>
      <c r="DM39" s="13">
        <v>12.4387426089139</v>
      </c>
      <c r="DN39" s="12">
        <v>8.1089481231588501</v>
      </c>
      <c r="DO39" s="13"/>
      <c r="DP39" s="13">
        <v>2031.31114275542</v>
      </c>
      <c r="DQ39" s="13">
        <v>2622.6630727762799</v>
      </c>
      <c r="DR39" s="13">
        <v>2188.60072764193</v>
      </c>
      <c r="DS39" s="13">
        <v>1628.9665859353399</v>
      </c>
      <c r="DT39" s="13">
        <v>2767.6590981771601</v>
      </c>
      <c r="DU39" s="13">
        <v>2662.9086516336802</v>
      </c>
      <c r="DV39" s="13"/>
      <c r="DW39" s="13">
        <v>2639.2852947654301</v>
      </c>
      <c r="DX39" s="12">
        <v>2495.26331853496</v>
      </c>
      <c r="DY39" s="18">
        <v>49.8821850657231</v>
      </c>
      <c r="DZ39" s="13">
        <v>6.5008220083026496</v>
      </c>
      <c r="EA39" s="13">
        <v>3.9670658682634699</v>
      </c>
      <c r="EB39" s="13">
        <v>38.370146460109403</v>
      </c>
      <c r="EC39" s="13">
        <v>1.2797805976012799</v>
      </c>
      <c r="ED39" s="5">
        <v>81.735160846991405</v>
      </c>
      <c r="EE39" s="12">
        <v>4949.5</v>
      </c>
    </row>
    <row r="40" spans="1:135" x14ac:dyDescent="0.2">
      <c r="A40" s="30"/>
      <c r="B40" s="5">
        <v>20</v>
      </c>
      <c r="C40" s="12" t="s">
        <v>111</v>
      </c>
      <c r="D40" s="13" t="s">
        <v>62</v>
      </c>
      <c r="E40" s="13" t="str">
        <f t="shared" si="1"/>
        <v>EMT_low</v>
      </c>
      <c r="F40" s="13" t="s">
        <v>63</v>
      </c>
      <c r="G40" s="13" t="s">
        <v>64</v>
      </c>
      <c r="H40" s="13">
        <v>1</v>
      </c>
      <c r="I40" s="13" t="s">
        <v>64</v>
      </c>
      <c r="J40" s="13" t="s">
        <v>77</v>
      </c>
      <c r="K40" s="13" t="s">
        <v>80</v>
      </c>
      <c r="L40" s="13">
        <v>0.10349999999999999</v>
      </c>
      <c r="M40" s="13">
        <v>351</v>
      </c>
      <c r="N40" s="13">
        <v>-8.3099999999999993E-2</v>
      </c>
      <c r="O40" s="13">
        <v>0.1051</v>
      </c>
      <c r="P40" s="13" t="s">
        <v>112</v>
      </c>
      <c r="Q40" s="13" t="s">
        <v>68</v>
      </c>
      <c r="R40" s="13">
        <v>54.7254</v>
      </c>
      <c r="S40" s="13">
        <v>20.8306</v>
      </c>
      <c r="T40" s="13" t="s">
        <v>73</v>
      </c>
      <c r="U40" s="5">
        <v>2.11</v>
      </c>
      <c r="V40" s="12">
        <v>1</v>
      </c>
      <c r="W40" s="5">
        <v>1462</v>
      </c>
      <c r="X40" s="18">
        <v>92185.315658198</v>
      </c>
      <c r="Y40" s="13">
        <v>58003.680641896302</v>
      </c>
      <c r="Z40" s="13">
        <v>112401.503239294</v>
      </c>
      <c r="AA40" s="13">
        <v>950270.59666321496</v>
      </c>
      <c r="AB40" s="13">
        <v>1027967.45845583</v>
      </c>
      <c r="AC40" s="13">
        <v>486054.78872583702</v>
      </c>
      <c r="AD40" s="13">
        <v>474305.38643703202</v>
      </c>
      <c r="AE40" s="13">
        <v>366079.257939815</v>
      </c>
      <c r="AF40" s="13">
        <v>107900.726171578</v>
      </c>
      <c r="AG40" s="13">
        <v>1674.6989054855701</v>
      </c>
      <c r="AH40" s="13">
        <v>146068.59887400101</v>
      </c>
      <c r="AI40" s="12">
        <v>124118.76052477999</v>
      </c>
      <c r="AJ40" s="18">
        <v>0.151022028180194</v>
      </c>
      <c r="AK40" s="13">
        <v>0.16260322453794701</v>
      </c>
      <c r="AL40" s="13">
        <v>0.22729994013171001</v>
      </c>
      <c r="AM40" s="13">
        <v>0.37090367428003901</v>
      </c>
      <c r="AN40" s="13">
        <v>0.54648705758055904</v>
      </c>
      <c r="AO40" s="13">
        <v>0.36353542083055701</v>
      </c>
      <c r="AP40" s="13">
        <v>0.27266811279826397</v>
      </c>
      <c r="AQ40" s="13">
        <v>9.3799682034976101E-2</v>
      </c>
      <c r="AR40" s="13">
        <v>7.7534405892614004E-3</v>
      </c>
      <c r="AS40" s="13">
        <v>0.48550140958517901</v>
      </c>
      <c r="AT40" s="12">
        <v>0.36247249449889901</v>
      </c>
      <c r="AU40" s="18">
        <v>-4.9664577345821499</v>
      </c>
      <c r="AV40" s="33">
        <v>-5.6898094733495004</v>
      </c>
      <c r="AW40" s="33">
        <v>-13.6802805722852</v>
      </c>
      <c r="AX40" s="33">
        <v>-41.105017012284101</v>
      </c>
      <c r="AY40" s="33">
        <v>-13.904945256757401</v>
      </c>
      <c r="AZ40" s="33">
        <v>-4.4068558751584801</v>
      </c>
      <c r="BA40" s="33">
        <v>-17.5195377588025</v>
      </c>
      <c r="BB40" s="33">
        <v>-1.88465100498866</v>
      </c>
      <c r="BC40" s="33">
        <v>-10.7326775946471</v>
      </c>
      <c r="BD40" s="12">
        <v>-13.3984725595183</v>
      </c>
      <c r="BE40" s="18">
        <v>20.903661482266902</v>
      </c>
      <c r="BF40" s="33">
        <v>17.469059877955701</v>
      </c>
      <c r="BG40" s="33">
        <v>9.34963768115942</v>
      </c>
      <c r="BH40" s="33">
        <v>5.6394639981596502</v>
      </c>
      <c r="BI40" s="33">
        <v>21.695779880771799</v>
      </c>
      <c r="BJ40" s="33">
        <v>25.750519561918502</v>
      </c>
      <c r="BK40" s="33">
        <v>1.79800724637681</v>
      </c>
      <c r="BL40" s="33"/>
      <c r="BM40" s="33">
        <v>15.360119047618999</v>
      </c>
      <c r="BN40" s="12">
        <v>10.4394727482884</v>
      </c>
      <c r="BO40" s="18">
        <v>0.80631077594760803</v>
      </c>
      <c r="BP40" s="13">
        <v>0.77605190719622497</v>
      </c>
      <c r="BQ40" s="13">
        <v>0.82937537417681095</v>
      </c>
      <c r="BR40" s="13">
        <v>0.78128103277060501</v>
      </c>
      <c r="BS40" s="13">
        <v>0.974643423137876</v>
      </c>
      <c r="BT40" s="13">
        <v>0.92960248723073502</v>
      </c>
      <c r="BU40" s="13">
        <v>0.80216919739696302</v>
      </c>
      <c r="BV40" s="13">
        <v>0.38771860095389499</v>
      </c>
      <c r="BW40" s="13">
        <v>0.123279705369257</v>
      </c>
      <c r="BX40" s="13">
        <v>0.99899315344341499</v>
      </c>
      <c r="BY40" s="12">
        <v>0.97859571914382804</v>
      </c>
      <c r="BZ40" s="18">
        <v>-0.39691442989212</v>
      </c>
      <c r="CA40" s="13">
        <v>-7.6350578589946103</v>
      </c>
      <c r="CB40" s="13">
        <v>-17.3611430899212</v>
      </c>
      <c r="CC40" s="13">
        <v>-37.728954445452402</v>
      </c>
      <c r="CD40" s="13">
        <v>36.693265066920603</v>
      </c>
      <c r="CE40" s="13">
        <v>20.042736694619201</v>
      </c>
      <c r="CF40" s="13">
        <v>-22.765658144792699</v>
      </c>
      <c r="CG40" s="13">
        <v>-1.16159597743993</v>
      </c>
      <c r="CH40" s="13">
        <v>-16.893709701188499</v>
      </c>
      <c r="CI40" s="12">
        <v>-15.8717748035643</v>
      </c>
      <c r="CJ40" s="18">
        <v>293.71544715447101</v>
      </c>
      <c r="CK40" s="13">
        <v>212.95030034324901</v>
      </c>
      <c r="CL40" s="13">
        <v>152.93778193684599</v>
      </c>
      <c r="CM40" s="13">
        <v>151.25965864069701</v>
      </c>
      <c r="CN40" s="13">
        <v>429.59410810583</v>
      </c>
      <c r="CO40" s="13">
        <v>390.89714323414898</v>
      </c>
      <c r="CP40" s="13">
        <v>108.09619565217299</v>
      </c>
      <c r="CQ40" s="13"/>
      <c r="CR40" s="13">
        <v>171.012505545696</v>
      </c>
      <c r="CS40" s="12">
        <v>170.530508135502</v>
      </c>
      <c r="CT40" s="18">
        <v>1</v>
      </c>
      <c r="CU40" s="13">
        <v>1</v>
      </c>
      <c r="CV40" s="13">
        <v>1</v>
      </c>
      <c r="CW40" s="13">
        <v>1</v>
      </c>
      <c r="CX40" s="13">
        <v>1</v>
      </c>
      <c r="CY40" s="13">
        <v>1</v>
      </c>
      <c r="CZ40" s="13">
        <v>1</v>
      </c>
      <c r="DA40" s="13">
        <v>0.99006359300476898</v>
      </c>
      <c r="DB40" s="13">
        <v>0.662725334367125</v>
      </c>
      <c r="DC40" s="13">
        <v>1</v>
      </c>
      <c r="DD40" s="12">
        <v>1</v>
      </c>
      <c r="DE40" s="18">
        <v>4.5578132092839798</v>
      </c>
      <c r="DF40" s="13">
        <v>-6.7931567148959902</v>
      </c>
      <c r="DG40" s="13">
        <v>-8.3518044909714497</v>
      </c>
      <c r="DH40" s="13">
        <v>-15.290684631605099</v>
      </c>
      <c r="DI40" s="13">
        <v>18.6898882263792</v>
      </c>
      <c r="DJ40" s="13">
        <v>9.0779702260254709</v>
      </c>
      <c r="DK40" s="13">
        <v>4.1503223432877601</v>
      </c>
      <c r="DL40" s="13">
        <v>1.4317869493497</v>
      </c>
      <c r="DM40" s="13">
        <v>-4.4157291882550904</v>
      </c>
      <c r="DN40" s="12">
        <v>-7.6676610958455003</v>
      </c>
      <c r="DO40" s="13">
        <v>2125.4842995169001</v>
      </c>
      <c r="DP40" s="13">
        <v>1512.67295957284</v>
      </c>
      <c r="DQ40" s="13">
        <v>1545.35269699587</v>
      </c>
      <c r="DR40" s="13">
        <v>1590.98018908314</v>
      </c>
      <c r="DS40" s="13">
        <v>2287.0871698053502</v>
      </c>
      <c r="DT40" s="13">
        <v>2138.6409469771902</v>
      </c>
      <c r="DU40" s="13">
        <v>2095.1818840579699</v>
      </c>
      <c r="DV40" s="13"/>
      <c r="DW40" s="13">
        <v>1743.08729850635</v>
      </c>
      <c r="DX40" s="12">
        <v>1600.04995776651</v>
      </c>
      <c r="DY40" s="18">
        <v>35.7309789665022</v>
      </c>
      <c r="DZ40" s="13">
        <v>17.112438327707</v>
      </c>
      <c r="EA40" s="13">
        <v>14.3339392365619</v>
      </c>
      <c r="EB40" s="13">
        <v>29.4468969098935</v>
      </c>
      <c r="EC40" s="13">
        <v>3.37574655933523</v>
      </c>
      <c r="ED40" s="5">
        <v>84.396230550076694</v>
      </c>
      <c r="EE40" s="12">
        <v>4563</v>
      </c>
    </row>
    <row r="41" spans="1:135" x14ac:dyDescent="0.2">
      <c r="A41" s="30"/>
      <c r="B41" s="5">
        <v>24</v>
      </c>
      <c r="C41" s="12" t="s">
        <v>119</v>
      </c>
      <c r="D41" s="13" t="s">
        <v>62</v>
      </c>
      <c r="E41" s="13" t="str">
        <f t="shared" si="1"/>
        <v>EMT_low</v>
      </c>
      <c r="F41" s="13" t="s">
        <v>63</v>
      </c>
      <c r="G41" s="13" t="s">
        <v>64</v>
      </c>
      <c r="H41" s="13">
        <v>1</v>
      </c>
      <c r="I41" s="13" t="s">
        <v>64</v>
      </c>
      <c r="J41" s="13" t="s">
        <v>65</v>
      </c>
      <c r="K41" s="13" t="s">
        <v>66</v>
      </c>
      <c r="L41" s="13"/>
      <c r="M41" s="13">
        <v>0</v>
      </c>
      <c r="N41" s="13"/>
      <c r="O41" s="13"/>
      <c r="P41" s="13"/>
      <c r="Q41" s="13"/>
      <c r="R41" s="13"/>
      <c r="S41" s="13"/>
      <c r="T41" s="13" t="s">
        <v>69</v>
      </c>
      <c r="U41" s="5">
        <v>2.1</v>
      </c>
      <c r="V41" s="12">
        <v>0</v>
      </c>
      <c r="W41" s="5">
        <v>2843</v>
      </c>
      <c r="X41" s="18">
        <v>0</v>
      </c>
      <c r="Y41" s="13">
        <v>84308.709209517503</v>
      </c>
      <c r="Z41" s="13">
        <v>0</v>
      </c>
      <c r="AA41" s="13">
        <v>227708.95860575</v>
      </c>
      <c r="AB41" s="13">
        <v>215669.259944355</v>
      </c>
      <c r="AC41" s="13">
        <v>1373308.8409368501</v>
      </c>
      <c r="AD41" s="13">
        <v>393218.40948027797</v>
      </c>
      <c r="AE41" s="13">
        <v>1051909.1001186301</v>
      </c>
      <c r="AF41" s="13">
        <v>330657.38564591901</v>
      </c>
      <c r="AG41" s="13"/>
      <c r="AH41" s="13">
        <v>0</v>
      </c>
      <c r="AI41" s="12">
        <v>0</v>
      </c>
      <c r="AJ41" s="18">
        <v>4.6375396631680998E-3</v>
      </c>
      <c r="AK41" s="13">
        <v>0.111360239162929</v>
      </c>
      <c r="AL41" s="13">
        <v>1.9526482792287E-3</v>
      </c>
      <c r="AM41" s="13">
        <v>0.22566485928221</v>
      </c>
      <c r="AN41" s="13">
        <v>0.202894804859136</v>
      </c>
      <c r="AO41" s="13">
        <v>0.82757281553397999</v>
      </c>
      <c r="AP41" s="13">
        <v>0.38340563991323201</v>
      </c>
      <c r="AQ41" s="13">
        <v>0.31832711774107603</v>
      </c>
      <c r="AR41" s="13"/>
      <c r="AS41" s="13">
        <v>3.4171344886501998E-3</v>
      </c>
      <c r="AT41" s="12">
        <v>7.3224310471070001E-4</v>
      </c>
      <c r="AU41" s="18">
        <v>-1.39637960344312</v>
      </c>
      <c r="AV41" s="33">
        <v>-9.1657441288051604</v>
      </c>
      <c r="AW41" s="33">
        <v>-0.76219728285995203</v>
      </c>
      <c r="AX41" s="33">
        <v>-8.2720002198311597</v>
      </c>
      <c r="AY41" s="33">
        <v>-10.829695856063299</v>
      </c>
      <c r="AZ41" s="33">
        <v>-20.829393453720598</v>
      </c>
      <c r="BA41" s="33">
        <v>-11.2225757542416</v>
      </c>
      <c r="BB41" s="33"/>
      <c r="BC41" s="33">
        <v>-1.4864825416581999</v>
      </c>
      <c r="BD41" s="12">
        <v>-1.41862944176283</v>
      </c>
      <c r="BE41" s="18"/>
      <c r="BF41" s="33">
        <v>5.9480255516840801</v>
      </c>
      <c r="BG41" s="33"/>
      <c r="BH41" s="33">
        <v>13.367989159891501</v>
      </c>
      <c r="BI41" s="33">
        <v>11.4326765363723</v>
      </c>
      <c r="BJ41" s="33">
        <v>13.1814182534471</v>
      </c>
      <c r="BK41" s="33">
        <v>12.171320192853001</v>
      </c>
      <c r="BL41" s="33"/>
      <c r="BM41" s="33"/>
      <c r="BN41" s="12"/>
      <c r="BO41" s="18">
        <v>3.7344398340248899E-2</v>
      </c>
      <c r="BP41" s="13">
        <v>0.88440458395615296</v>
      </c>
      <c r="BQ41" s="13">
        <v>5.1012936294849799E-2</v>
      </c>
      <c r="BR41" s="13">
        <v>0.84869610121352901</v>
      </c>
      <c r="BS41" s="13">
        <v>0.82346859653657201</v>
      </c>
      <c r="BT41" s="13">
        <v>1</v>
      </c>
      <c r="BU41" s="13">
        <v>0.98020607375271096</v>
      </c>
      <c r="BV41" s="13">
        <v>0.94592434736281295</v>
      </c>
      <c r="BW41" s="13"/>
      <c r="BX41" s="13">
        <v>6.6634122528679507E-2</v>
      </c>
      <c r="BY41" s="12">
        <v>4.5399072492067302E-2</v>
      </c>
      <c r="BZ41" s="18">
        <v>-2.9404667312593098</v>
      </c>
      <c r="CA41" s="13">
        <v>-7.4713216665710904</v>
      </c>
      <c r="CB41" s="13">
        <v>-2.5712615732471198</v>
      </c>
      <c r="CC41" s="13">
        <v>13.0542256436503</v>
      </c>
      <c r="CD41" s="13">
        <v>1.24233771739404</v>
      </c>
      <c r="CE41" s="13">
        <v>2.6708359667332</v>
      </c>
      <c r="CF41" s="13">
        <v>8.7540820772725301</v>
      </c>
      <c r="CG41" s="13"/>
      <c r="CH41" s="13">
        <v>-1.3700462560456601</v>
      </c>
      <c r="CI41" s="12">
        <v>-2.2619634074702999</v>
      </c>
      <c r="CJ41" s="18"/>
      <c r="CK41" s="13">
        <v>168.44808362369301</v>
      </c>
      <c r="CL41" s="13"/>
      <c r="CM41" s="13">
        <v>294.93958807588001</v>
      </c>
      <c r="CN41" s="13">
        <v>234.457141335605</v>
      </c>
      <c r="CO41" s="13">
        <v>235.48744775234999</v>
      </c>
      <c r="CP41" s="13">
        <v>266.66520136131498</v>
      </c>
      <c r="CQ41" s="13"/>
      <c r="CR41" s="13"/>
      <c r="CS41" s="12"/>
      <c r="CT41" s="18">
        <v>0.243104710763973</v>
      </c>
      <c r="CU41" s="13">
        <v>1</v>
      </c>
      <c r="CV41" s="13">
        <v>0.50500366121552298</v>
      </c>
      <c r="CW41" s="13">
        <v>1</v>
      </c>
      <c r="CX41" s="13">
        <v>1</v>
      </c>
      <c r="CY41" s="13">
        <v>1</v>
      </c>
      <c r="CZ41" s="13">
        <v>1</v>
      </c>
      <c r="DA41" s="13">
        <v>1</v>
      </c>
      <c r="DB41" s="13"/>
      <c r="DC41" s="13">
        <v>0.54137173541615802</v>
      </c>
      <c r="DD41" s="12">
        <v>0.44349524041981903</v>
      </c>
      <c r="DE41" s="18">
        <v>-1.58306844511963</v>
      </c>
      <c r="DF41" s="13">
        <v>-0.58578466675237495</v>
      </c>
      <c r="DG41" s="13">
        <v>0.87145360571018005</v>
      </c>
      <c r="DH41" s="13">
        <v>10.301786894460699</v>
      </c>
      <c r="DI41" s="13">
        <v>3.9225784198058999</v>
      </c>
      <c r="DJ41" s="13">
        <v>1.3259554851472799</v>
      </c>
      <c r="DK41" s="13">
        <v>8.2819181913646496</v>
      </c>
      <c r="DL41" s="13"/>
      <c r="DM41" s="13">
        <v>2.30268997372582</v>
      </c>
      <c r="DN41" s="12">
        <v>0.50058246127224904</v>
      </c>
      <c r="DO41" s="13"/>
      <c r="DP41" s="13">
        <v>1470.58983739837</v>
      </c>
      <c r="DQ41" s="13"/>
      <c r="DR41" s="13">
        <v>1837.36571273712</v>
      </c>
      <c r="DS41" s="13">
        <v>1622.74188944509</v>
      </c>
      <c r="DT41" s="13">
        <v>1524.1629966529399</v>
      </c>
      <c r="DU41" s="13">
        <v>1725.50976318774</v>
      </c>
      <c r="DV41" s="13"/>
      <c r="DW41" s="13"/>
      <c r="DX41" s="12"/>
      <c r="DY41" s="18">
        <v>8.5682900036616605</v>
      </c>
      <c r="DZ41" s="13">
        <v>55.547418528011697</v>
      </c>
      <c r="EA41" s="13">
        <v>14.317099963383299</v>
      </c>
      <c r="EB41" s="13">
        <v>8.2387403881362093</v>
      </c>
      <c r="EC41" s="13">
        <v>13.328451116807001</v>
      </c>
      <c r="ED41" s="5">
        <v>96.8783256473927</v>
      </c>
      <c r="EE41" s="12">
        <v>2819</v>
      </c>
    </row>
    <row r="42" spans="1:135" x14ac:dyDescent="0.2">
      <c r="A42" s="30"/>
      <c r="B42" s="5">
        <v>25</v>
      </c>
      <c r="C42" s="12" t="s">
        <v>120</v>
      </c>
      <c r="D42" s="13" t="s">
        <v>62</v>
      </c>
      <c r="E42" s="13" t="str">
        <f t="shared" si="1"/>
        <v>EMT_low</v>
      </c>
      <c r="F42" s="13" t="s">
        <v>63</v>
      </c>
      <c r="G42" s="13" t="s">
        <v>64</v>
      </c>
      <c r="H42" s="13">
        <v>1</v>
      </c>
      <c r="I42" s="13" t="s">
        <v>64</v>
      </c>
      <c r="J42" s="13" t="s">
        <v>65</v>
      </c>
      <c r="K42" s="13" t="s">
        <v>66</v>
      </c>
      <c r="L42" s="13">
        <v>-1.9199999999999998E-2</v>
      </c>
      <c r="M42" s="13">
        <v>176</v>
      </c>
      <c r="N42" s="13">
        <v>0.1263</v>
      </c>
      <c r="O42" s="13">
        <v>-0.3821</v>
      </c>
      <c r="P42" s="13" t="s">
        <v>121</v>
      </c>
      <c r="Q42" s="13" t="s">
        <v>68</v>
      </c>
      <c r="R42" s="13">
        <v>52.450699999999998</v>
      </c>
      <c r="S42" s="13">
        <v>43.317</v>
      </c>
      <c r="T42" s="13" t="s">
        <v>73</v>
      </c>
      <c r="U42" s="5">
        <v>2.1</v>
      </c>
      <c r="V42" s="12">
        <v>0</v>
      </c>
      <c r="W42" s="5">
        <v>2313</v>
      </c>
      <c r="X42" s="18">
        <v>42836.824521846902</v>
      </c>
      <c r="Y42" s="13">
        <v>39036.615087390201</v>
      </c>
      <c r="Z42" s="13">
        <v>155746.64577139201</v>
      </c>
      <c r="AA42" s="13">
        <v>900214.05130962504</v>
      </c>
      <c r="AB42" s="13">
        <v>736223.28726390796</v>
      </c>
      <c r="AC42" s="13">
        <v>656510.18929144903</v>
      </c>
      <c r="AD42" s="13">
        <v>244352.66470756399</v>
      </c>
      <c r="AE42" s="13">
        <v>599554.86538182001</v>
      </c>
      <c r="AF42" s="13">
        <v>143782.13236071501</v>
      </c>
      <c r="AG42" s="13">
        <v>0</v>
      </c>
      <c r="AH42" s="13">
        <v>201361.03322567701</v>
      </c>
      <c r="AI42" s="12">
        <v>52672.8678280229</v>
      </c>
      <c r="AJ42" s="18">
        <v>0.19111860595840299</v>
      </c>
      <c r="AK42" s="13">
        <v>0.18135807676085999</v>
      </c>
      <c r="AL42" s="13">
        <v>0.36478078425698102</v>
      </c>
      <c r="AM42" s="13">
        <v>0.64593128390596699</v>
      </c>
      <c r="AN42" s="13">
        <v>0.59359307359307301</v>
      </c>
      <c r="AO42" s="13">
        <v>0.53257933828494197</v>
      </c>
      <c r="AP42" s="13">
        <v>0.20833947252099599</v>
      </c>
      <c r="AQ42" s="13">
        <v>0.13154881190953299</v>
      </c>
      <c r="AR42" s="13">
        <v>9.7343902099839995E-4</v>
      </c>
      <c r="AS42" s="13">
        <v>0.81394322694513899</v>
      </c>
      <c r="AT42" s="12">
        <v>0.34024252679075001</v>
      </c>
      <c r="AU42" s="18">
        <v>3.5343187635142699</v>
      </c>
      <c r="AV42" s="33">
        <v>-4.4590532039653503</v>
      </c>
      <c r="AW42" s="33">
        <v>-6.3133133085516899</v>
      </c>
      <c r="AX42" s="33">
        <v>-18.349709013819801</v>
      </c>
      <c r="AY42" s="33">
        <v>-27.558673664338901</v>
      </c>
      <c r="AZ42" s="33">
        <v>-29.530490806476401</v>
      </c>
      <c r="BA42" s="33">
        <v>-4.6419552777259501</v>
      </c>
      <c r="BB42" s="33">
        <v>-1.3805062974483899</v>
      </c>
      <c r="BC42" s="33">
        <v>-6.9819616533457998</v>
      </c>
      <c r="BD42" s="12">
        <v>1.7544818177205399</v>
      </c>
      <c r="BE42" s="18">
        <v>49.061403508771903</v>
      </c>
      <c r="BF42" s="33">
        <v>24.722925457102601</v>
      </c>
      <c r="BG42" s="33">
        <v>27.928667457492999</v>
      </c>
      <c r="BH42" s="33">
        <v>25.2551945447252</v>
      </c>
      <c r="BI42" s="33">
        <v>16.903489375048999</v>
      </c>
      <c r="BJ42" s="33">
        <v>14.5629162285313</v>
      </c>
      <c r="BK42" s="33">
        <v>29.7362459546925</v>
      </c>
      <c r="BL42" s="33"/>
      <c r="BM42" s="33">
        <v>28.146847610969701</v>
      </c>
      <c r="BN42" s="12">
        <v>42.613333333333301</v>
      </c>
      <c r="BO42" s="18">
        <v>0.83080382237211903</v>
      </c>
      <c r="BP42" s="13">
        <v>0.936173203992689</v>
      </c>
      <c r="BQ42" s="13">
        <v>0.97424395890609095</v>
      </c>
      <c r="BR42" s="13">
        <v>0.99547920433996295</v>
      </c>
      <c r="BS42" s="13">
        <v>0.99619047619047596</v>
      </c>
      <c r="BT42" s="13">
        <v>0.984469952734638</v>
      </c>
      <c r="BU42" s="13">
        <v>0.85516428466185301</v>
      </c>
      <c r="BV42" s="13">
        <v>0.54509018036072099</v>
      </c>
      <c r="BW42" s="13">
        <v>4.8254762898067002E-2</v>
      </c>
      <c r="BX42" s="13">
        <v>0.99985291954699196</v>
      </c>
      <c r="BY42" s="12">
        <v>0.99464184997179905</v>
      </c>
      <c r="BZ42" s="18">
        <v>1.85431995111405</v>
      </c>
      <c r="CA42" s="13">
        <v>-1.8059014384174601</v>
      </c>
      <c r="CB42" s="13">
        <v>3.8132328802057902</v>
      </c>
      <c r="CC42" s="13">
        <v>5.9575041013072996</v>
      </c>
      <c r="CD42" s="13">
        <v>-0.109661928356241</v>
      </c>
      <c r="CE42" s="13">
        <v>-8.5604647613623808</v>
      </c>
      <c r="CF42" s="13">
        <v>27.434125013228901</v>
      </c>
      <c r="CG42" s="13">
        <v>0.84308295329092697</v>
      </c>
      <c r="CH42" s="13">
        <v>-2.6580982427147499</v>
      </c>
      <c r="CI42" s="12">
        <v>-1.00985921549171E-2</v>
      </c>
      <c r="CJ42" s="18">
        <v>430.80584795321602</v>
      </c>
      <c r="CK42" s="13">
        <v>378.036005625879</v>
      </c>
      <c r="CL42" s="13">
        <v>435.042704626334</v>
      </c>
      <c r="CM42" s="13">
        <v>434.53036502206101</v>
      </c>
      <c r="CN42" s="13">
        <v>403.62876185995401</v>
      </c>
      <c r="CO42" s="13">
        <v>358.54179810725498</v>
      </c>
      <c r="CP42" s="13">
        <v>667.55717367853197</v>
      </c>
      <c r="CQ42" s="13"/>
      <c r="CR42" s="13">
        <v>384.61334464235199</v>
      </c>
      <c r="CS42" s="12">
        <v>404.47155555555503</v>
      </c>
      <c r="CT42" s="18">
        <v>1</v>
      </c>
      <c r="CU42" s="13">
        <v>1</v>
      </c>
      <c r="CV42" s="13">
        <v>1</v>
      </c>
      <c r="CW42" s="13">
        <v>1</v>
      </c>
      <c r="CX42" s="13">
        <v>1</v>
      </c>
      <c r="CY42" s="13">
        <v>1</v>
      </c>
      <c r="CZ42" s="13">
        <v>1</v>
      </c>
      <c r="DA42" s="13">
        <v>0.97323217864300005</v>
      </c>
      <c r="DB42" s="13">
        <v>0.345988040606313</v>
      </c>
      <c r="DC42" s="13">
        <v>1</v>
      </c>
      <c r="DD42" s="12">
        <v>1</v>
      </c>
      <c r="DE42" s="18">
        <v>0.31808635088168902</v>
      </c>
      <c r="DF42" s="13">
        <v>1.2636353656935</v>
      </c>
      <c r="DG42" s="13">
        <v>11.579001968837201</v>
      </c>
      <c r="DH42" s="13">
        <v>12.628856042249399</v>
      </c>
      <c r="DI42" s="13">
        <v>7.9079789821542503</v>
      </c>
      <c r="DJ42" s="13">
        <v>4.4533484865015103</v>
      </c>
      <c r="DK42" s="13">
        <v>23.0330756481303</v>
      </c>
      <c r="DL42" s="13">
        <v>0.35685054846123399</v>
      </c>
      <c r="DM42" s="13">
        <v>2.27529609926808</v>
      </c>
      <c r="DN42" s="12">
        <v>2.5867638420377199</v>
      </c>
      <c r="DO42" s="13">
        <v>2732.0192982456101</v>
      </c>
      <c r="DP42" s="13">
        <v>2809.19859353023</v>
      </c>
      <c r="DQ42" s="13">
        <v>3350.4291024120198</v>
      </c>
      <c r="DR42" s="13">
        <v>3162.9674020590901</v>
      </c>
      <c r="DS42" s="13">
        <v>2998.27052458245</v>
      </c>
      <c r="DT42" s="13">
        <v>2875.4478093235098</v>
      </c>
      <c r="DU42" s="13">
        <v>4036.6307443365599</v>
      </c>
      <c r="DV42" s="13"/>
      <c r="DW42" s="13">
        <v>2811.4770144189902</v>
      </c>
      <c r="DX42" s="12">
        <v>2908.5375555555502</v>
      </c>
      <c r="DY42" s="18">
        <v>28.842275110931801</v>
      </c>
      <c r="DZ42" s="13">
        <v>25.5748285599031</v>
      </c>
      <c r="EA42" s="13">
        <v>8.1686163775716008</v>
      </c>
      <c r="EB42" s="13">
        <v>33.259378781766799</v>
      </c>
      <c r="EC42" s="13">
        <v>4.1549011698265401</v>
      </c>
      <c r="ED42" s="5">
        <v>84.205163043478194</v>
      </c>
      <c r="EE42" s="12">
        <v>5888</v>
      </c>
    </row>
    <row r="43" spans="1:135" x14ac:dyDescent="0.2">
      <c r="A43" s="30"/>
      <c r="B43" s="5">
        <v>29</v>
      </c>
      <c r="C43" s="12" t="s">
        <v>128</v>
      </c>
      <c r="D43" s="13" t="s">
        <v>62</v>
      </c>
      <c r="E43" s="13" t="str">
        <f t="shared" si="1"/>
        <v>EMT_low</v>
      </c>
      <c r="F43" s="13" t="s">
        <v>63</v>
      </c>
      <c r="G43" s="13" t="s">
        <v>64</v>
      </c>
      <c r="H43" s="13">
        <v>1</v>
      </c>
      <c r="I43" s="13" t="s">
        <v>64</v>
      </c>
      <c r="J43" s="13" t="s">
        <v>65</v>
      </c>
      <c r="K43" s="13" t="s">
        <v>66</v>
      </c>
      <c r="L43" s="13">
        <v>-0.38059999999999999</v>
      </c>
      <c r="M43" s="13">
        <v>57</v>
      </c>
      <c r="N43" s="13">
        <v>-0.18690000000000001</v>
      </c>
      <c r="O43" s="13">
        <v>0.2994</v>
      </c>
      <c r="P43" s="13" t="s">
        <v>129</v>
      </c>
      <c r="Q43" s="13" t="s">
        <v>68</v>
      </c>
      <c r="R43" s="13">
        <v>160.4974</v>
      </c>
      <c r="S43" s="13">
        <v>16.539200000000001</v>
      </c>
      <c r="T43" s="13" t="s">
        <v>73</v>
      </c>
      <c r="U43" s="5">
        <v>1.6</v>
      </c>
      <c r="V43" s="12">
        <v>0</v>
      </c>
      <c r="W43" s="5">
        <v>1409</v>
      </c>
      <c r="X43" s="18">
        <v>8188.8338971725498</v>
      </c>
      <c r="Y43" s="13">
        <v>48596.267868495997</v>
      </c>
      <c r="Z43" s="13">
        <v>31582.7653397537</v>
      </c>
      <c r="AA43" s="13">
        <v>1241977.7943246199</v>
      </c>
      <c r="AB43" s="13">
        <v>297608.92206335103</v>
      </c>
      <c r="AC43" s="13">
        <v>32086.007785358801</v>
      </c>
      <c r="AD43" s="13">
        <v>135426.37878089599</v>
      </c>
      <c r="AE43" s="13">
        <v>328325.12362602702</v>
      </c>
      <c r="AF43" s="13">
        <v>1471759.3574973</v>
      </c>
      <c r="AG43" s="13"/>
      <c r="AH43" s="13">
        <v>131016.879399079</v>
      </c>
      <c r="AI43" s="12">
        <v>35915.6496673496</v>
      </c>
      <c r="AJ43" s="18">
        <v>2.1419676214196701E-2</v>
      </c>
      <c r="AK43" s="13">
        <v>0.14591733870967699</v>
      </c>
      <c r="AL43" s="13">
        <v>9.05442688738399E-2</v>
      </c>
      <c r="AM43" s="13">
        <v>0.56594202898550705</v>
      </c>
      <c r="AN43" s="13">
        <v>0.151935914552736</v>
      </c>
      <c r="AO43" s="13">
        <v>1.4985014985014899E-2</v>
      </c>
      <c r="AP43" s="13">
        <v>0.119835771105978</v>
      </c>
      <c r="AQ43" s="13">
        <v>0.68298755186721904</v>
      </c>
      <c r="AR43" s="13"/>
      <c r="AS43" s="13">
        <v>0.34744450180691699</v>
      </c>
      <c r="AT43" s="12">
        <v>0.105474635861376</v>
      </c>
      <c r="AU43" s="18">
        <v>5.9045124272938798</v>
      </c>
      <c r="AV43" s="33">
        <v>2.3496521493409501</v>
      </c>
      <c r="AW43" s="33">
        <v>-1.3738755064039501</v>
      </c>
      <c r="AX43" s="33">
        <v>-7.0794782993499803</v>
      </c>
      <c r="AY43" s="33">
        <v>-9.5317982833347603</v>
      </c>
      <c r="AZ43" s="33">
        <v>-3.3242968745298098</v>
      </c>
      <c r="BA43" s="33">
        <v>-13.827238854202101</v>
      </c>
      <c r="BB43" s="33"/>
      <c r="BC43" s="33">
        <v>3.3952207058885699</v>
      </c>
      <c r="BD43" s="12">
        <v>1.0688887718769</v>
      </c>
      <c r="BE43" s="18"/>
      <c r="BF43" s="33">
        <v>27.8580086580086</v>
      </c>
      <c r="BG43" s="33">
        <v>14.186948853615499</v>
      </c>
      <c r="BH43" s="33">
        <v>15.037828802674399</v>
      </c>
      <c r="BI43" s="33">
        <v>5.8559438163754702</v>
      </c>
      <c r="BJ43" s="33"/>
      <c r="BK43" s="33">
        <v>10.9832314823015</v>
      </c>
      <c r="BL43" s="33"/>
      <c r="BM43" s="33">
        <v>26.993288590603999</v>
      </c>
      <c r="BN43" s="12">
        <v>24.1351142082849</v>
      </c>
      <c r="BO43" s="18">
        <v>0.162141967621419</v>
      </c>
      <c r="BP43" s="13">
        <v>0.85105846774193505</v>
      </c>
      <c r="BQ43" s="13">
        <v>0.68071231502382701</v>
      </c>
      <c r="BR43" s="13">
        <v>0.97644927536231796</v>
      </c>
      <c r="BS43" s="13">
        <v>0.57196261682242899</v>
      </c>
      <c r="BT43" s="13">
        <v>6.91808191808191E-2</v>
      </c>
      <c r="BU43" s="13">
        <v>0.678983833718244</v>
      </c>
      <c r="BV43" s="13">
        <v>0.99668049792531099</v>
      </c>
      <c r="BW43" s="13"/>
      <c r="BX43" s="13">
        <v>0.95998967475477504</v>
      </c>
      <c r="BY43" s="12">
        <v>0.591662481165243</v>
      </c>
      <c r="BZ43" s="18">
        <v>0.404680036976585</v>
      </c>
      <c r="CA43" s="13">
        <v>-0.75713013375118499</v>
      </c>
      <c r="CB43" s="13">
        <v>-1.3356961103668299</v>
      </c>
      <c r="CC43" s="13">
        <v>16.984537100916501</v>
      </c>
      <c r="CD43" s="13">
        <v>-9.3604488996821793</v>
      </c>
      <c r="CE43" s="13">
        <v>1.1891276139328399</v>
      </c>
      <c r="CF43" s="13">
        <v>-4.3958247809348299</v>
      </c>
      <c r="CG43" s="13"/>
      <c r="CH43" s="13">
        <v>-1.4525450602035099</v>
      </c>
      <c r="CI43" s="12">
        <v>-0.102058445271468</v>
      </c>
      <c r="CJ43" s="18"/>
      <c r="CK43" s="13">
        <v>204.29206349206299</v>
      </c>
      <c r="CL43" s="13">
        <v>192.41049382716</v>
      </c>
      <c r="CM43" s="13">
        <v>281.95297163468098</v>
      </c>
      <c r="CN43" s="13">
        <v>153.40276350348199</v>
      </c>
      <c r="CO43" s="13"/>
      <c r="CP43" s="13">
        <v>196.07541896692501</v>
      </c>
      <c r="CQ43" s="13"/>
      <c r="CR43" s="13">
        <v>201.37850218387101</v>
      </c>
      <c r="CS43" s="12">
        <v>210.20905923344901</v>
      </c>
      <c r="CT43" s="18">
        <v>0.76986301369862997</v>
      </c>
      <c r="CU43" s="13">
        <v>1</v>
      </c>
      <c r="CV43" s="13">
        <v>1</v>
      </c>
      <c r="CW43" s="13">
        <v>1</v>
      </c>
      <c r="CX43" s="13">
        <v>0.99038718291054695</v>
      </c>
      <c r="CY43" s="13">
        <v>0.315434565434565</v>
      </c>
      <c r="CZ43" s="13">
        <v>1</v>
      </c>
      <c r="DA43" s="13">
        <v>1</v>
      </c>
      <c r="DB43" s="13"/>
      <c r="DC43" s="13">
        <v>1</v>
      </c>
      <c r="DD43" s="12">
        <v>1</v>
      </c>
      <c r="DE43" s="18">
        <v>-3.6360361684031202</v>
      </c>
      <c r="DF43" s="13">
        <v>2.4913094439115699</v>
      </c>
      <c r="DG43" s="13">
        <v>-1.4280207804360101</v>
      </c>
      <c r="DH43" s="13">
        <v>10.5997193386166</v>
      </c>
      <c r="DI43" s="13">
        <v>0.12262376761501501</v>
      </c>
      <c r="DJ43" s="13">
        <v>4.0007095455599497</v>
      </c>
      <c r="DK43" s="13">
        <v>5.9410799900660498</v>
      </c>
      <c r="DL43" s="13"/>
      <c r="DM43" s="13">
        <v>-1.6947778979401</v>
      </c>
      <c r="DN43" s="12">
        <v>-2.8663531512639602</v>
      </c>
      <c r="DO43" s="13"/>
      <c r="DP43" s="13">
        <v>1587.32611832611</v>
      </c>
      <c r="DQ43" s="13">
        <v>1321.15961199294</v>
      </c>
      <c r="DR43" s="13">
        <v>1793.0904875014101</v>
      </c>
      <c r="DS43" s="13">
        <v>1432.4097864565399</v>
      </c>
      <c r="DT43" s="13"/>
      <c r="DU43" s="13">
        <v>1627.8732225272799</v>
      </c>
      <c r="DV43" s="13"/>
      <c r="DW43" s="13">
        <v>1350.5213593267199</v>
      </c>
      <c r="DX43" s="12">
        <v>1223.1053039101801</v>
      </c>
      <c r="DY43" s="18">
        <v>8.4267959987875098</v>
      </c>
      <c r="DZ43" s="13">
        <v>0.57593210063655598</v>
      </c>
      <c r="EA43" s="13">
        <v>3.81933919369505</v>
      </c>
      <c r="EB43" s="13">
        <v>37.496210973022102</v>
      </c>
      <c r="EC43" s="13">
        <v>49.681721733858701</v>
      </c>
      <c r="ED43" s="5">
        <v>91.945373467112603</v>
      </c>
      <c r="EE43" s="12">
        <v>3588</v>
      </c>
    </row>
    <row r="44" spans="1:135" x14ac:dyDescent="0.2">
      <c r="A44" s="30"/>
      <c r="B44" s="5">
        <v>30</v>
      </c>
      <c r="C44" s="12" t="s">
        <v>130</v>
      </c>
      <c r="D44" s="13" t="s">
        <v>62</v>
      </c>
      <c r="E44" s="13" t="str">
        <f t="shared" si="1"/>
        <v>EMT_low</v>
      </c>
      <c r="F44" s="13" t="s">
        <v>63</v>
      </c>
      <c r="G44" s="13" t="s">
        <v>64</v>
      </c>
      <c r="H44" s="13">
        <v>1</v>
      </c>
      <c r="I44" s="13" t="s">
        <v>91</v>
      </c>
      <c r="J44" s="13" t="s">
        <v>65</v>
      </c>
      <c r="K44" s="13" t="s">
        <v>66</v>
      </c>
      <c r="L44" s="13"/>
      <c r="M44" s="13"/>
      <c r="N44" s="13"/>
      <c r="O44" s="13"/>
      <c r="P44" s="13"/>
      <c r="Q44" s="13"/>
      <c r="R44" s="13"/>
      <c r="S44" s="13"/>
      <c r="T44" s="13"/>
      <c r="U44" s="5"/>
      <c r="V44" s="12">
        <v>0</v>
      </c>
      <c r="W44" s="5">
        <v>10156</v>
      </c>
      <c r="X44" s="18">
        <v>215434.92569301499</v>
      </c>
      <c r="Y44" s="13">
        <v>161322.01137584099</v>
      </c>
      <c r="Z44" s="13">
        <v>782606.24903067295</v>
      </c>
      <c r="AA44" s="13">
        <v>950705.62671280105</v>
      </c>
      <c r="AB44" s="13">
        <v>167497.80212905901</v>
      </c>
      <c r="AC44" s="13"/>
      <c r="AD44" s="13">
        <v>122038.01038784</v>
      </c>
      <c r="AE44" s="13">
        <v>121014.804624144</v>
      </c>
      <c r="AF44" s="13">
        <v>556405.00220022199</v>
      </c>
      <c r="AG44" s="13">
        <v>23806.382801130501</v>
      </c>
      <c r="AH44" s="13">
        <v>642381.02806152205</v>
      </c>
      <c r="AI44" s="12">
        <v>309293.81445566198</v>
      </c>
      <c r="AJ44" s="18">
        <v>0.236133636068764</v>
      </c>
      <c r="AK44" s="13">
        <v>0.14922978177150101</v>
      </c>
      <c r="AL44" s="13">
        <v>0.62617187500000004</v>
      </c>
      <c r="AM44" s="13">
        <v>0.38505747126436701</v>
      </c>
      <c r="AN44" s="13">
        <v>0.122409945808096</v>
      </c>
      <c r="AO44" s="13"/>
      <c r="AP44" s="13">
        <v>0.12480252764612899</v>
      </c>
      <c r="AQ44" s="13">
        <v>0.31045406546990401</v>
      </c>
      <c r="AR44" s="13">
        <v>8.8943792464484195E-2</v>
      </c>
      <c r="AS44" s="13">
        <v>0.84065524944154801</v>
      </c>
      <c r="AT44" s="12">
        <v>0.50703753351206404</v>
      </c>
      <c r="AU44" s="18">
        <v>-7.1308557119287999</v>
      </c>
      <c r="AV44" s="33">
        <v>-3.3523557685351699</v>
      </c>
      <c r="AW44" s="33">
        <v>-11.7361094486916</v>
      </c>
      <c r="AX44" s="33">
        <v>3.4253811960216298</v>
      </c>
      <c r="AY44" s="33">
        <v>-1.6838694016635101</v>
      </c>
      <c r="AZ44" s="33"/>
      <c r="BA44" s="33">
        <v>1.32852777657624</v>
      </c>
      <c r="BB44" s="33">
        <v>-2.0092966252168001</v>
      </c>
      <c r="BC44" s="33">
        <v>-6.4155315020905999</v>
      </c>
      <c r="BD44" s="12">
        <v>-4.4232237822913003</v>
      </c>
      <c r="BE44" s="18">
        <v>5.2883558220889499</v>
      </c>
      <c r="BF44" s="33">
        <v>12.8011100832562</v>
      </c>
      <c r="BG44" s="33">
        <v>5.5854282327989502</v>
      </c>
      <c r="BH44" s="33">
        <v>25.43579060547</v>
      </c>
      <c r="BI44" s="33">
        <v>16.515942028985499</v>
      </c>
      <c r="BJ44" s="33"/>
      <c r="BK44" s="33">
        <v>22.8852424749163</v>
      </c>
      <c r="BL44" s="33"/>
      <c r="BM44" s="33">
        <v>12.148328637782599</v>
      </c>
      <c r="BN44" s="12">
        <v>12.445293836598101</v>
      </c>
      <c r="BO44" s="18">
        <v>0.82192669477781299</v>
      </c>
      <c r="BP44" s="13">
        <v>0.84788189987162998</v>
      </c>
      <c r="BQ44" s="13">
        <v>0.99101562499999996</v>
      </c>
      <c r="BR44" s="13">
        <v>0.77816091954022903</v>
      </c>
      <c r="BS44" s="13">
        <v>0.497290404845393</v>
      </c>
      <c r="BT44" s="13"/>
      <c r="BU44" s="13">
        <v>0.60410742496050496</v>
      </c>
      <c r="BV44" s="13">
        <v>0.74762407602956704</v>
      </c>
      <c r="BW44" s="13">
        <v>0.552192711550339</v>
      </c>
      <c r="BX44" s="13">
        <v>1</v>
      </c>
      <c r="BY44" s="12">
        <v>0.99765415549597802</v>
      </c>
      <c r="BZ44" s="18">
        <v>-11.518597048778201</v>
      </c>
      <c r="CA44" s="13">
        <v>-11.7234268541002</v>
      </c>
      <c r="CB44" s="13">
        <v>-15.781389364953499</v>
      </c>
      <c r="CC44" s="13">
        <v>19.745974133491501</v>
      </c>
      <c r="CD44" s="13">
        <v>23.6695204296519</v>
      </c>
      <c r="CE44" s="13"/>
      <c r="CF44" s="13">
        <v>25.195759985922901</v>
      </c>
      <c r="CG44" s="13">
        <v>-3.8524183737848201</v>
      </c>
      <c r="CH44" s="13">
        <v>-4.8285578581720996</v>
      </c>
      <c r="CI44" s="12">
        <v>-9.0028797729892602</v>
      </c>
      <c r="CJ44" s="18">
        <v>79.528735632183896</v>
      </c>
      <c r="CK44" s="13">
        <v>71.535615171137806</v>
      </c>
      <c r="CL44" s="13">
        <v>74.641631838313202</v>
      </c>
      <c r="CM44" s="13">
        <v>409.92648343525298</v>
      </c>
      <c r="CN44" s="13">
        <v>551.80942028985498</v>
      </c>
      <c r="CO44" s="13"/>
      <c r="CP44" s="13">
        <v>467.57357859531697</v>
      </c>
      <c r="CQ44" s="13"/>
      <c r="CR44" s="13">
        <v>170.820376151678</v>
      </c>
      <c r="CS44" s="12">
        <v>118.61920688007601</v>
      </c>
      <c r="CT44" s="18">
        <v>1</v>
      </c>
      <c r="CU44" s="13">
        <v>1</v>
      </c>
      <c r="CV44" s="13">
        <v>1</v>
      </c>
      <c r="CW44" s="13">
        <v>1</v>
      </c>
      <c r="CX44" s="13">
        <v>0.923175007969397</v>
      </c>
      <c r="CY44" s="13"/>
      <c r="CZ44" s="13">
        <v>0.99178515007898804</v>
      </c>
      <c r="DA44" s="13">
        <v>0.99084829285462805</v>
      </c>
      <c r="DB44" s="13">
        <v>0.90518838789376099</v>
      </c>
      <c r="DC44" s="13">
        <v>1</v>
      </c>
      <c r="DD44" s="12">
        <v>1</v>
      </c>
      <c r="DE44" s="18">
        <v>-2.13767586816788</v>
      </c>
      <c r="DF44" s="13">
        <v>-1.8968729833058</v>
      </c>
      <c r="DG44" s="13">
        <v>-4.4534769725809804</v>
      </c>
      <c r="DH44" s="13">
        <v>6.1252330421241696</v>
      </c>
      <c r="DI44" s="13">
        <v>4.5340466046599897</v>
      </c>
      <c r="DJ44" s="13"/>
      <c r="DK44" s="13">
        <v>3.58357090229139</v>
      </c>
      <c r="DL44" s="13">
        <v>-0.36675405742636802</v>
      </c>
      <c r="DM44" s="13">
        <v>-1.8932967445965401</v>
      </c>
      <c r="DN44" s="12">
        <v>-4.0066707396324599</v>
      </c>
      <c r="DO44" s="13">
        <v>1213.88105947026</v>
      </c>
      <c r="DP44" s="13">
        <v>1222.88251618871</v>
      </c>
      <c r="DQ44" s="13">
        <v>1117.59341276277</v>
      </c>
      <c r="DR44" s="13">
        <v>1653.10758685572</v>
      </c>
      <c r="DS44" s="13">
        <v>1631.83405797101</v>
      </c>
      <c r="DT44" s="13"/>
      <c r="DU44" s="13">
        <v>1530.41868729097</v>
      </c>
      <c r="DV44" s="13"/>
      <c r="DW44" s="13">
        <v>1243.7161349272801</v>
      </c>
      <c r="DX44" s="12">
        <v>1121.8913839783399</v>
      </c>
      <c r="DY44" s="18">
        <v>9.4117647058823497</v>
      </c>
      <c r="DZ44" s="13">
        <v>0</v>
      </c>
      <c r="EA44" s="13">
        <v>7.2156862745097996</v>
      </c>
      <c r="EB44" s="13">
        <v>50.745098039215598</v>
      </c>
      <c r="EC44" s="13">
        <v>32.627450980392098</v>
      </c>
      <c r="ED44" s="5">
        <v>40.476190476190403</v>
      </c>
      <c r="EE44" s="12">
        <v>3150</v>
      </c>
    </row>
    <row r="45" spans="1:135" x14ac:dyDescent="0.2">
      <c r="A45" s="30"/>
      <c r="B45" s="5">
        <v>31</v>
      </c>
      <c r="C45" s="12" t="s">
        <v>131</v>
      </c>
      <c r="D45" s="13" t="s">
        <v>62</v>
      </c>
      <c r="E45" s="13" t="str">
        <f t="shared" si="1"/>
        <v>EMT_low</v>
      </c>
      <c r="F45" s="13" t="s">
        <v>63</v>
      </c>
      <c r="G45" s="13" t="s">
        <v>64</v>
      </c>
      <c r="H45" s="13">
        <v>1</v>
      </c>
      <c r="I45" s="13" t="s">
        <v>64</v>
      </c>
      <c r="J45" s="13" t="s">
        <v>77</v>
      </c>
      <c r="K45" s="13" t="s">
        <v>66</v>
      </c>
      <c r="L45" s="13">
        <v>-6.8000000000000005E-2</v>
      </c>
      <c r="M45" s="13">
        <v>218</v>
      </c>
      <c r="N45" s="13">
        <v>8.2799999999999999E-2</v>
      </c>
      <c r="O45" s="13">
        <v>-0.3765</v>
      </c>
      <c r="P45" s="13" t="s">
        <v>132</v>
      </c>
      <c r="Q45" s="13" t="s">
        <v>68</v>
      </c>
      <c r="R45" s="13">
        <v>33.2742</v>
      </c>
      <c r="S45" s="13">
        <v>47.427900000000001</v>
      </c>
      <c r="T45" s="13"/>
      <c r="U45" s="5"/>
      <c r="V45" s="12">
        <v>1</v>
      </c>
      <c r="W45" s="5">
        <v>6289</v>
      </c>
      <c r="X45" s="18">
        <v>2165.36821312857</v>
      </c>
      <c r="Y45" s="13">
        <v>39534.862285049203</v>
      </c>
      <c r="Z45" s="13">
        <v>17601.775429085501</v>
      </c>
      <c r="AA45" s="13">
        <v>1116869.4310503399</v>
      </c>
      <c r="AB45" s="13">
        <v>856675.24751582602</v>
      </c>
      <c r="AC45" s="13">
        <v>170660.67458946601</v>
      </c>
      <c r="AD45" s="13">
        <v>669020.14472781401</v>
      </c>
      <c r="AE45" s="13">
        <v>718163.831658351</v>
      </c>
      <c r="AF45" s="13">
        <v>46547.599265276098</v>
      </c>
      <c r="AG45" s="13"/>
      <c r="AH45" s="13">
        <v>80657.534299956606</v>
      </c>
      <c r="AI45" s="12">
        <v>57939.925063120398</v>
      </c>
      <c r="AJ45" s="18">
        <v>2.3678484576986999E-2</v>
      </c>
      <c r="AK45" s="13">
        <v>0.23280854151372499</v>
      </c>
      <c r="AL45" s="13">
        <v>8.6805976660744993E-2</v>
      </c>
      <c r="AM45" s="13">
        <v>0.57804647866419101</v>
      </c>
      <c r="AN45" s="13">
        <v>0.47289856870095098</v>
      </c>
      <c r="AO45" s="13">
        <v>0.11950851458646999</v>
      </c>
      <c r="AP45" s="13">
        <v>0.56794206515493895</v>
      </c>
      <c r="AQ45" s="13">
        <v>4.9756068744479499E-2</v>
      </c>
      <c r="AR45" s="13"/>
      <c r="AS45" s="13">
        <v>0.49592178976853801</v>
      </c>
      <c r="AT45" s="12">
        <v>0.39090375937806598</v>
      </c>
      <c r="AU45" s="18">
        <v>1.09530638653767</v>
      </c>
      <c r="AV45" s="33">
        <v>-5.7775514129385002</v>
      </c>
      <c r="AW45" s="33">
        <v>-1.12718439447912</v>
      </c>
      <c r="AX45" s="33">
        <v>-53.786480805294197</v>
      </c>
      <c r="AY45" s="33">
        <v>-39.658983782719297</v>
      </c>
      <c r="AZ45" s="33">
        <v>-18.870258653232</v>
      </c>
      <c r="BA45" s="33">
        <v>-14.809272742146</v>
      </c>
      <c r="BB45" s="33"/>
      <c r="BC45" s="33">
        <v>-3.23571675192348</v>
      </c>
      <c r="BD45" s="12">
        <v>-5.1611432669577697</v>
      </c>
      <c r="BE45" s="18"/>
      <c r="BF45" s="33">
        <v>30.074128000215801</v>
      </c>
      <c r="BG45" s="33">
        <v>41.821998080731703</v>
      </c>
      <c r="BH45" s="33">
        <v>22.766648867606801</v>
      </c>
      <c r="BI45" s="33">
        <v>26.401683121229201</v>
      </c>
      <c r="BJ45" s="33">
        <v>25.277810680336099</v>
      </c>
      <c r="BK45" s="33">
        <v>14.5122448500326</v>
      </c>
      <c r="BL45" s="33"/>
      <c r="BM45" s="33">
        <v>37.858014593433701</v>
      </c>
      <c r="BN45" s="12">
        <v>33.282001305419897</v>
      </c>
      <c r="BO45" s="18">
        <v>0.28516574939203798</v>
      </c>
      <c r="BP45" s="13">
        <v>0.84413768424954205</v>
      </c>
      <c r="BQ45" s="13">
        <v>0.39302643878676602</v>
      </c>
      <c r="BR45" s="13">
        <v>0.92659846022109404</v>
      </c>
      <c r="BS45" s="13">
        <v>0.75868125749055404</v>
      </c>
      <c r="BT45" s="13">
        <v>0.44915626342133103</v>
      </c>
      <c r="BU45" s="13">
        <v>0.97957934422832504</v>
      </c>
      <c r="BV45" s="13">
        <v>0.320280852091405</v>
      </c>
      <c r="BW45" s="13"/>
      <c r="BX45" s="13">
        <v>0.99374269005847904</v>
      </c>
      <c r="BY45" s="12">
        <v>0.93866146613524704</v>
      </c>
      <c r="BZ45" s="18">
        <v>2.8672813590018298</v>
      </c>
      <c r="CA45" s="13">
        <v>-1.97681021253255</v>
      </c>
      <c r="CB45" s="13">
        <v>0.64499557958410403</v>
      </c>
      <c r="CC45" s="13">
        <v>5.8599297998745499</v>
      </c>
      <c r="CD45" s="13">
        <v>0.53134547994626802</v>
      </c>
      <c r="CE45" s="13">
        <v>-6.3090111346150097</v>
      </c>
      <c r="CF45" s="13">
        <v>0.73700425916094503</v>
      </c>
      <c r="CG45" s="13"/>
      <c r="CH45" s="13">
        <v>-0.67079921368616102</v>
      </c>
      <c r="CI45" s="12">
        <v>-4.0897795403762203</v>
      </c>
      <c r="CJ45" s="18"/>
      <c r="CK45" s="13">
        <v>407.254034801979</v>
      </c>
      <c r="CL45" s="13">
        <v>455.73207832247698</v>
      </c>
      <c r="CM45" s="13">
        <v>471.70158827859098</v>
      </c>
      <c r="CN45" s="13">
        <v>448.62762817022099</v>
      </c>
      <c r="CO45" s="13">
        <v>424.78655267907601</v>
      </c>
      <c r="CP45" s="13">
        <v>460.27550732281998</v>
      </c>
      <c r="CQ45" s="13"/>
      <c r="CR45" s="13">
        <v>442.144338309879</v>
      </c>
      <c r="CS45" s="12">
        <v>393.80942818498499</v>
      </c>
      <c r="CT45" s="18">
        <v>0.94637143222833697</v>
      </c>
      <c r="CU45" s="13">
        <v>1</v>
      </c>
      <c r="CV45" s="13">
        <v>0.81418724870763903</v>
      </c>
      <c r="CW45" s="13">
        <v>1</v>
      </c>
      <c r="CX45" s="13">
        <v>1</v>
      </c>
      <c r="CY45" s="13">
        <v>0.93212861144535297</v>
      </c>
      <c r="CZ45" s="13">
        <v>1</v>
      </c>
      <c r="DA45" s="13">
        <v>0.890717319932118</v>
      </c>
      <c r="DB45" s="13"/>
      <c r="DC45" s="13">
        <v>1</v>
      </c>
      <c r="DD45" s="12">
        <v>1</v>
      </c>
      <c r="DE45" s="18">
        <v>1.72803038140413</v>
      </c>
      <c r="DF45" s="13">
        <v>-0.45585492633250801</v>
      </c>
      <c r="DG45" s="13">
        <v>0.57141643541565301</v>
      </c>
      <c r="DH45" s="13">
        <v>11.8531323943016</v>
      </c>
      <c r="DI45" s="13">
        <v>3.8202260967332</v>
      </c>
      <c r="DJ45" s="13">
        <v>-6.9093393598987296</v>
      </c>
      <c r="DK45" s="13">
        <v>0.99572940962495704</v>
      </c>
      <c r="DL45" s="13"/>
      <c r="DM45" s="13">
        <v>-0.47119413321553799</v>
      </c>
      <c r="DN45" s="12">
        <v>-1.49498155681554</v>
      </c>
      <c r="DO45" s="13"/>
      <c r="DP45" s="13">
        <v>2978.74483015945</v>
      </c>
      <c r="DQ45" s="13">
        <v>2932.8873348714701</v>
      </c>
      <c r="DR45" s="13">
        <v>3374.9095271958199</v>
      </c>
      <c r="DS45" s="13">
        <v>3066.50173260979</v>
      </c>
      <c r="DT45" s="13">
        <v>2837.6013714635101</v>
      </c>
      <c r="DU45" s="13">
        <v>3159.81334377335</v>
      </c>
      <c r="DV45" s="13"/>
      <c r="DW45" s="13">
        <v>3027.39000388255</v>
      </c>
      <c r="DX45" s="12">
        <v>2884.8727669561799</v>
      </c>
      <c r="DY45" s="18">
        <v>31.349284692398001</v>
      </c>
      <c r="DZ45" s="13">
        <v>4.8955119393911204</v>
      </c>
      <c r="EA45" s="13">
        <v>24.1268322633988</v>
      </c>
      <c r="EB45" s="13">
        <v>38.265952710975697</v>
      </c>
      <c r="EC45" s="13">
        <v>1.36241839383616</v>
      </c>
      <c r="ED45" s="5">
        <v>93.298569568743204</v>
      </c>
      <c r="EE45" s="12">
        <v>6469.5</v>
      </c>
    </row>
    <row r="46" spans="1:135" x14ac:dyDescent="0.2">
      <c r="A46" s="30"/>
      <c r="B46" s="5">
        <v>32</v>
      </c>
      <c r="C46" s="12" t="s">
        <v>133</v>
      </c>
      <c r="D46" s="13" t="s">
        <v>71</v>
      </c>
      <c r="E46" s="13" t="str">
        <f t="shared" si="1"/>
        <v>EMT_low</v>
      </c>
      <c r="F46" s="13" t="s">
        <v>63</v>
      </c>
      <c r="G46" s="13" t="s">
        <v>64</v>
      </c>
      <c r="H46" s="13">
        <v>0</v>
      </c>
      <c r="I46" s="13" t="s">
        <v>64</v>
      </c>
      <c r="J46" s="13" t="s">
        <v>65</v>
      </c>
      <c r="K46" s="13" t="s">
        <v>66</v>
      </c>
      <c r="L46" s="13">
        <v>0.32119999999999999</v>
      </c>
      <c r="M46" s="13">
        <v>373</v>
      </c>
      <c r="N46" s="13">
        <v>-0.14219999999999999</v>
      </c>
      <c r="O46" s="13">
        <v>0.27489999999999998</v>
      </c>
      <c r="P46" s="13" t="s">
        <v>134</v>
      </c>
      <c r="Q46" s="13" t="s">
        <v>68</v>
      </c>
      <c r="R46" s="13">
        <v>14.383900000000001</v>
      </c>
      <c r="S46" s="13">
        <v>6.6142000000000003</v>
      </c>
      <c r="T46" s="13"/>
      <c r="U46" s="5"/>
      <c r="V46" s="12">
        <v>0</v>
      </c>
      <c r="W46" s="5">
        <v>6981</v>
      </c>
      <c r="X46" s="18">
        <v>225473.229610735</v>
      </c>
      <c r="Y46" s="13">
        <v>116622.526090025</v>
      </c>
      <c r="Z46" s="13">
        <v>1009239.93470365</v>
      </c>
      <c r="AA46" s="13">
        <v>180566.98749267499</v>
      </c>
      <c r="AB46" s="13">
        <v>124860.185131166</v>
      </c>
      <c r="AC46" s="13">
        <v>460216.55374964199</v>
      </c>
      <c r="AD46" s="13">
        <v>49158.626867981402</v>
      </c>
      <c r="AE46" s="13">
        <v>135165.39060817301</v>
      </c>
      <c r="AF46" s="13">
        <v>208519.17496308</v>
      </c>
      <c r="AG46" s="13">
        <v>29449.532715516099</v>
      </c>
      <c r="AH46" s="13">
        <v>684101.75105196203</v>
      </c>
      <c r="AI46" s="12">
        <v>767852.10792750795</v>
      </c>
      <c r="AJ46" s="18">
        <v>0.38384351788188098</v>
      </c>
      <c r="AK46" s="13">
        <v>0.222168878622618</v>
      </c>
      <c r="AL46" s="13">
        <v>0.82125408374328301</v>
      </c>
      <c r="AM46" s="13">
        <v>9.8356064409174604E-2</v>
      </c>
      <c r="AN46" s="13">
        <v>9.1304347826086901E-2</v>
      </c>
      <c r="AO46" s="13">
        <v>0.15410915310871501</v>
      </c>
      <c r="AP46" s="13">
        <v>3.7744252357903699E-2</v>
      </c>
      <c r="AQ46" s="13">
        <v>8.38735133029027E-2</v>
      </c>
      <c r="AR46" s="13">
        <v>7.0831347895993699E-2</v>
      </c>
      <c r="AS46" s="13">
        <v>0.81888419692407</v>
      </c>
      <c r="AT46" s="12">
        <v>0.706436617792364</v>
      </c>
      <c r="AU46" s="18">
        <v>-3.1120424631641801</v>
      </c>
      <c r="AV46" s="33">
        <v>-2.8454971670012399</v>
      </c>
      <c r="AW46" s="33">
        <v>-5.1400652452321696</v>
      </c>
      <c r="AX46" s="33">
        <v>14.3668290217066</v>
      </c>
      <c r="AY46" s="33">
        <v>20.956369101743501</v>
      </c>
      <c r="AZ46" s="33">
        <v>0.39677740109161602</v>
      </c>
      <c r="BA46" s="33">
        <v>10.6881406978633</v>
      </c>
      <c r="BB46" s="33">
        <v>-1.08074545415298</v>
      </c>
      <c r="BC46" s="33">
        <v>-0.103285083813405</v>
      </c>
      <c r="BD46" s="12">
        <v>-5.3010764313796601</v>
      </c>
      <c r="BE46" s="18">
        <v>3.76866096866096</v>
      </c>
      <c r="BF46" s="33">
        <v>0</v>
      </c>
      <c r="BG46" s="33">
        <v>6.19466858789625</v>
      </c>
      <c r="BH46" s="33">
        <v>87.063269639065794</v>
      </c>
      <c r="BI46" s="33">
        <v>122.75984848484801</v>
      </c>
      <c r="BJ46" s="33">
        <v>11.403448275862001</v>
      </c>
      <c r="BK46" s="33">
        <v>30.409195402298799</v>
      </c>
      <c r="BL46" s="33"/>
      <c r="BM46" s="33">
        <v>22.108508648901299</v>
      </c>
      <c r="BN46" s="12">
        <v>4.5533461415305796</v>
      </c>
      <c r="BO46" s="18">
        <v>0.98502490853646296</v>
      </c>
      <c r="BP46" s="13">
        <v>0.86955748840000402</v>
      </c>
      <c r="BQ46" s="13">
        <v>1</v>
      </c>
      <c r="BR46" s="13">
        <v>0.34395654730375402</v>
      </c>
      <c r="BS46" s="13">
        <v>0.383850931677018</v>
      </c>
      <c r="BT46" s="13">
        <v>0.51720311259871299</v>
      </c>
      <c r="BU46" s="13">
        <v>0.19031619611720799</v>
      </c>
      <c r="BV46" s="13">
        <v>0.33256147151879201</v>
      </c>
      <c r="BW46" s="13">
        <v>0.52184313914904701</v>
      </c>
      <c r="BX46" s="13">
        <v>0.99910179640718499</v>
      </c>
      <c r="BY46" s="12">
        <v>0.99971767363071695</v>
      </c>
      <c r="BZ46" s="18">
        <v>-2.8596217128451902</v>
      </c>
      <c r="CA46" s="13">
        <v>-2.2550664772906202</v>
      </c>
      <c r="CB46" s="13">
        <v>-2.1911746787628501</v>
      </c>
      <c r="CC46" s="13">
        <v>22.5139933944726</v>
      </c>
      <c r="CD46" s="13">
        <v>15.2122456013842</v>
      </c>
      <c r="CE46" s="13">
        <v>15.842307170897</v>
      </c>
      <c r="CF46" s="13">
        <v>43.131098367399197</v>
      </c>
      <c r="CG46" s="13">
        <v>-0.53274991992581</v>
      </c>
      <c r="CH46" s="13">
        <v>-1.0673152121774301</v>
      </c>
      <c r="CI46" s="12">
        <v>-3.1445826146385398</v>
      </c>
      <c r="CJ46" s="18">
        <v>137.55612535612499</v>
      </c>
      <c r="CK46" s="13">
        <v>65.966404199474994</v>
      </c>
      <c r="CL46" s="13">
        <v>181.86911623438999</v>
      </c>
      <c r="CM46" s="13">
        <v>827.101061571125</v>
      </c>
      <c r="CN46" s="13">
        <v>504.81856060605998</v>
      </c>
      <c r="CO46" s="13">
        <v>1170.7540229885001</v>
      </c>
      <c r="CP46" s="13">
        <v>1067.0369458128</v>
      </c>
      <c r="CQ46" s="13"/>
      <c r="CR46" s="13">
        <v>176.40425432444999</v>
      </c>
      <c r="CS46" s="12">
        <v>138.61232788984901</v>
      </c>
      <c r="CT46" s="18">
        <v>1</v>
      </c>
      <c r="CU46" s="13">
        <v>1</v>
      </c>
      <c r="CV46" s="13">
        <v>1</v>
      </c>
      <c r="CW46" s="13">
        <v>0.91400434989405299</v>
      </c>
      <c r="CX46" s="13">
        <v>0.92267080745341601</v>
      </c>
      <c r="CY46" s="13">
        <v>0.85849344312290299</v>
      </c>
      <c r="CZ46" s="13">
        <v>0.58809869595941699</v>
      </c>
      <c r="DA46" s="13">
        <v>0.88099641688429198</v>
      </c>
      <c r="DB46" s="13">
        <v>0.99643635283907395</v>
      </c>
      <c r="DC46" s="13">
        <v>1</v>
      </c>
      <c r="DD46" s="12">
        <v>1</v>
      </c>
      <c r="DE46" s="18">
        <v>-1.3441293253690501</v>
      </c>
      <c r="DF46" s="13">
        <v>-1.41413760827204</v>
      </c>
      <c r="DG46" s="13">
        <v>1.82858495311776</v>
      </c>
      <c r="DH46" s="13">
        <v>12.227609681656</v>
      </c>
      <c r="DI46" s="13">
        <v>2.1000149132719499</v>
      </c>
      <c r="DJ46" s="13">
        <v>8.4323512595562509</v>
      </c>
      <c r="DK46" s="13">
        <v>14.4654750575829</v>
      </c>
      <c r="DL46" s="13">
        <v>2.7562523190042598</v>
      </c>
      <c r="DM46" s="13">
        <v>3.3568376002950102</v>
      </c>
      <c r="DN46" s="12">
        <v>2.6816233172673098</v>
      </c>
      <c r="DO46" s="13">
        <v>1313.37834757834</v>
      </c>
      <c r="DP46" s="13">
        <v>1237.73805774278</v>
      </c>
      <c r="DQ46" s="13">
        <v>1527.3829010566701</v>
      </c>
      <c r="DR46" s="13">
        <v>2984.7254777070002</v>
      </c>
      <c r="DS46" s="13">
        <v>1428.02272727272</v>
      </c>
      <c r="DT46" s="13">
        <v>3246.1816091954001</v>
      </c>
      <c r="DU46" s="13">
        <v>3139.7494252873498</v>
      </c>
      <c r="DV46" s="13"/>
      <c r="DW46" s="13">
        <v>1581.2994857409999</v>
      </c>
      <c r="DX46" s="12">
        <v>1516.6878322126099</v>
      </c>
      <c r="DY46" s="18">
        <v>8.6785009861932902</v>
      </c>
      <c r="DZ46" s="13">
        <v>44.526627218934898</v>
      </c>
      <c r="EA46" s="13">
        <v>4.4030243261012396</v>
      </c>
      <c r="EB46" s="13">
        <v>19.483234714003899</v>
      </c>
      <c r="EC46" s="13">
        <v>22.908612754766601</v>
      </c>
      <c r="ED46" s="5">
        <v>19.7194755925503</v>
      </c>
      <c r="EE46" s="12">
        <v>2557.5</v>
      </c>
    </row>
    <row r="47" spans="1:135" x14ac:dyDescent="0.2">
      <c r="A47" s="30"/>
      <c r="B47" s="5">
        <v>37</v>
      </c>
      <c r="C47" s="12" t="s">
        <v>143</v>
      </c>
      <c r="D47" s="13" t="s">
        <v>62</v>
      </c>
      <c r="E47" s="13" t="str">
        <f t="shared" si="1"/>
        <v>EMT_low</v>
      </c>
      <c r="F47" s="13" t="s">
        <v>63</v>
      </c>
      <c r="G47" s="13" t="s">
        <v>64</v>
      </c>
      <c r="H47" s="13">
        <v>1</v>
      </c>
      <c r="I47" s="13" t="s">
        <v>64</v>
      </c>
      <c r="J47" s="13" t="s">
        <v>65</v>
      </c>
      <c r="K47" s="13" t="s">
        <v>66</v>
      </c>
      <c r="L47" s="13">
        <v>7.8200000000000006E-2</v>
      </c>
      <c r="M47" s="13">
        <v>59</v>
      </c>
      <c r="N47" s="13">
        <v>0.20419999999999999</v>
      </c>
      <c r="O47" s="13">
        <v>-0.45850000000000002</v>
      </c>
      <c r="P47" s="13" t="s">
        <v>144</v>
      </c>
      <c r="Q47" s="13" t="s">
        <v>68</v>
      </c>
      <c r="R47" s="13">
        <v>18.889199999999999</v>
      </c>
      <c r="S47" s="13">
        <v>17.203900000000001</v>
      </c>
      <c r="T47" s="13" t="s">
        <v>69</v>
      </c>
      <c r="U47" s="5">
        <v>2.6</v>
      </c>
      <c r="V47" s="12">
        <v>0</v>
      </c>
      <c r="W47" s="5">
        <v>4279</v>
      </c>
      <c r="X47" s="18">
        <v>0</v>
      </c>
      <c r="Y47" s="13">
        <v>73352.699315082398</v>
      </c>
      <c r="Z47" s="13">
        <v>435281.79217964102</v>
      </c>
      <c r="AA47" s="13">
        <v>89837.319774347299</v>
      </c>
      <c r="AB47" s="13">
        <v>282215.095902159</v>
      </c>
      <c r="AC47" s="13">
        <v>103785.556701131</v>
      </c>
      <c r="AD47" s="13">
        <v>17229.355459107799</v>
      </c>
      <c r="AE47" s="13">
        <v>302381.50925479701</v>
      </c>
      <c r="AF47" s="13">
        <v>1590517.9259434899</v>
      </c>
      <c r="AG47" s="13">
        <v>0</v>
      </c>
      <c r="AH47" s="13">
        <v>771581.39120705996</v>
      </c>
      <c r="AI47" s="12">
        <v>112714.624935471</v>
      </c>
      <c r="AJ47" s="18">
        <v>8.1168831168831005E-3</v>
      </c>
      <c r="AK47" s="13">
        <v>0.19505928807332501</v>
      </c>
      <c r="AL47" s="13">
        <v>0.43940508814253099</v>
      </c>
      <c r="AM47" s="13">
        <v>8.1203204082486297E-2</v>
      </c>
      <c r="AN47" s="13">
        <v>0.18661814783893799</v>
      </c>
      <c r="AO47" s="13">
        <v>6.3437738589206094E-2</v>
      </c>
      <c r="AP47" s="13">
        <v>1.44058351115912E-2</v>
      </c>
      <c r="AQ47" s="13">
        <v>0.58860526819206305</v>
      </c>
      <c r="AR47" s="13">
        <v>4.3357076494270003E-3</v>
      </c>
      <c r="AS47" s="13">
        <v>0.75400990138318003</v>
      </c>
      <c r="AT47" s="12">
        <v>0.26627955028380501</v>
      </c>
      <c r="AU47" s="18">
        <v>-0.139168932758198</v>
      </c>
      <c r="AV47" s="33">
        <v>-0.72673876809876503</v>
      </c>
      <c r="AW47" s="33">
        <v>-3.37690754257663</v>
      </c>
      <c r="AX47" s="33">
        <v>-0.807385980739457</v>
      </c>
      <c r="AY47" s="33">
        <v>1.5996526195971701</v>
      </c>
      <c r="AZ47" s="33">
        <v>5.4447995485498604</v>
      </c>
      <c r="BA47" s="33">
        <v>-5.0283511988951304</v>
      </c>
      <c r="BB47" s="33">
        <v>-0.30544141932848701</v>
      </c>
      <c r="BC47" s="33">
        <v>-0.69192185423184904</v>
      </c>
      <c r="BD47" s="12">
        <v>-1.11008315816686</v>
      </c>
      <c r="BE47" s="18"/>
      <c r="BF47" s="33">
        <v>0</v>
      </c>
      <c r="BG47" s="33">
        <v>6.1155303030303001</v>
      </c>
      <c r="BH47" s="33">
        <v>13.978354978354901</v>
      </c>
      <c r="BI47" s="33">
        <v>29.7843883316038</v>
      </c>
      <c r="BJ47" s="33">
        <v>79.578529657477006</v>
      </c>
      <c r="BK47" s="33">
        <v>3.7860357804758098</v>
      </c>
      <c r="BL47" s="33"/>
      <c r="BM47" s="33">
        <v>11.655421352214301</v>
      </c>
      <c r="BN47" s="12">
        <v>3.07523809523809</v>
      </c>
      <c r="BO47" s="18">
        <v>6.8587662337662295E-2</v>
      </c>
      <c r="BP47" s="13">
        <v>0.87192020304520801</v>
      </c>
      <c r="BQ47" s="13">
        <v>0.98467600700525404</v>
      </c>
      <c r="BR47" s="13">
        <v>0.38939980967917298</v>
      </c>
      <c r="BS47" s="13">
        <v>0.60289860452111999</v>
      </c>
      <c r="BT47" s="13">
        <v>0.43478672376896099</v>
      </c>
      <c r="BU47" s="13">
        <v>0.126398881318879</v>
      </c>
      <c r="BV47" s="13">
        <v>0.98751070855270195</v>
      </c>
      <c r="BW47" s="13">
        <v>3.5614741406008003E-2</v>
      </c>
      <c r="BX47" s="13">
        <v>1</v>
      </c>
      <c r="BY47" s="12">
        <v>0.91062303875696105</v>
      </c>
      <c r="BZ47" s="18">
        <v>-0.50437125838214403</v>
      </c>
      <c r="CA47" s="13">
        <v>0.72308318333090804</v>
      </c>
      <c r="CB47" s="13">
        <v>0.616274794454438</v>
      </c>
      <c r="CC47" s="13">
        <v>1.36309497086806</v>
      </c>
      <c r="CD47" s="13">
        <v>-0.76492898828665001</v>
      </c>
      <c r="CE47" s="13">
        <v>5.0704264963903301</v>
      </c>
      <c r="CF47" s="13">
        <v>-2.5300632775201302</v>
      </c>
      <c r="CG47" s="13">
        <v>-1.0259971639815599</v>
      </c>
      <c r="CH47" s="13">
        <v>-1.9389784483742201</v>
      </c>
      <c r="CI47" s="12">
        <v>-1.66731496491339</v>
      </c>
      <c r="CJ47" s="18"/>
      <c r="CK47" s="13">
        <v>220.48876909254199</v>
      </c>
      <c r="CL47" s="13">
        <v>230.934072871572</v>
      </c>
      <c r="CM47" s="13">
        <v>273.97575757575697</v>
      </c>
      <c r="CN47" s="13">
        <v>188.013951343249</v>
      </c>
      <c r="CO47" s="13">
        <v>329.10442773600602</v>
      </c>
      <c r="CP47" s="13">
        <v>120.420363856424</v>
      </c>
      <c r="CQ47" s="13"/>
      <c r="CR47" s="13">
        <v>174.38303484659099</v>
      </c>
      <c r="CS47" s="12">
        <v>166.06285714285701</v>
      </c>
      <c r="CT47" s="18">
        <v>0.49249188311688302</v>
      </c>
      <c r="CU47" s="13">
        <v>1</v>
      </c>
      <c r="CV47" s="13">
        <v>1</v>
      </c>
      <c r="CW47" s="13">
        <v>0.95055057096247897</v>
      </c>
      <c r="CX47" s="13">
        <v>0.96045658377496901</v>
      </c>
      <c r="CY47" s="13">
        <v>0.99449915038243897</v>
      </c>
      <c r="CZ47" s="13">
        <v>0.58158744520882699</v>
      </c>
      <c r="DA47" s="13">
        <v>1</v>
      </c>
      <c r="DB47" s="13">
        <v>0.27965314338804498</v>
      </c>
      <c r="DC47" s="13">
        <v>1</v>
      </c>
      <c r="DD47" s="12">
        <v>1</v>
      </c>
      <c r="DE47" s="18">
        <v>-1.4288954778959</v>
      </c>
      <c r="DF47" s="13">
        <v>0.61140945015759995</v>
      </c>
      <c r="DG47" s="13">
        <v>0.23694150235647801</v>
      </c>
      <c r="DH47" s="13">
        <v>-2.68491272363873</v>
      </c>
      <c r="DI47" s="13">
        <v>-1.92765374427709</v>
      </c>
      <c r="DJ47" s="13">
        <v>-3.6128648901012101</v>
      </c>
      <c r="DK47" s="13">
        <v>-0.37793755303746102</v>
      </c>
      <c r="DL47" s="13">
        <v>2.4199649631245799</v>
      </c>
      <c r="DM47" s="13">
        <v>-0.65716986851407</v>
      </c>
      <c r="DN47" s="12">
        <v>1.5679578806774599</v>
      </c>
      <c r="DO47" s="13"/>
      <c r="DP47" s="13">
        <v>1349.0431266846299</v>
      </c>
      <c r="DQ47" s="13">
        <v>1277.85461760461</v>
      </c>
      <c r="DR47" s="13">
        <v>1149.02077922077</v>
      </c>
      <c r="DS47" s="13">
        <v>1258.7627118644</v>
      </c>
      <c r="DT47" s="13">
        <v>954.94235588972401</v>
      </c>
      <c r="DU47" s="13">
        <v>1264.65808086538</v>
      </c>
      <c r="DV47" s="13"/>
      <c r="DW47" s="13">
        <v>1226.0606691656201</v>
      </c>
      <c r="DX47" s="12">
        <v>1393.0828571428499</v>
      </c>
      <c r="DY47" s="18">
        <v>11.2755422722493</v>
      </c>
      <c r="DZ47" s="13">
        <v>4.0241840222107097</v>
      </c>
      <c r="EA47" s="13">
        <v>0.63529650367666202</v>
      </c>
      <c r="EB47" s="13">
        <v>3.41635171344601</v>
      </c>
      <c r="EC47" s="13">
        <v>80.648625488417295</v>
      </c>
      <c r="ED47" s="5">
        <v>58.341741346917999</v>
      </c>
      <c r="EE47" s="12">
        <v>3712</v>
      </c>
    </row>
    <row r="48" spans="1:135" x14ac:dyDescent="0.2">
      <c r="A48" s="30"/>
      <c r="B48" s="5">
        <v>38</v>
      </c>
      <c r="C48" s="12" t="s">
        <v>145</v>
      </c>
      <c r="D48" s="13" t="s">
        <v>71</v>
      </c>
      <c r="E48" s="13" t="str">
        <f t="shared" si="1"/>
        <v>EMT_low</v>
      </c>
      <c r="F48" s="13" t="s">
        <v>63</v>
      </c>
      <c r="G48" s="13" t="s">
        <v>64</v>
      </c>
      <c r="H48" s="13">
        <v>0</v>
      </c>
      <c r="I48" s="13" t="s">
        <v>64</v>
      </c>
      <c r="J48" s="13" t="s">
        <v>65</v>
      </c>
      <c r="K48" s="13" t="s">
        <v>66</v>
      </c>
      <c r="L48" s="13">
        <v>0.22389999999999999</v>
      </c>
      <c r="M48" s="13">
        <v>345</v>
      </c>
      <c r="N48" s="13">
        <v>0.13270000000000001</v>
      </c>
      <c r="O48" s="13">
        <v>0.52300000000000002</v>
      </c>
      <c r="P48" s="13" t="s">
        <v>146</v>
      </c>
      <c r="Q48" s="13" t="s">
        <v>68</v>
      </c>
      <c r="R48" s="13">
        <v>50.8855</v>
      </c>
      <c r="S48" s="13">
        <v>36.713099999999997</v>
      </c>
      <c r="T48" s="13" t="s">
        <v>69</v>
      </c>
      <c r="U48" s="5">
        <v>3.16</v>
      </c>
      <c r="V48" s="12">
        <v>0</v>
      </c>
      <c r="W48" s="5">
        <v>2943</v>
      </c>
      <c r="X48" s="18">
        <v>78955.914784065593</v>
      </c>
      <c r="Y48" s="13">
        <v>30915.066231897199</v>
      </c>
      <c r="Z48" s="13">
        <v>10773.4408469632</v>
      </c>
      <c r="AA48" s="13">
        <v>871447.24489726103</v>
      </c>
      <c r="AB48" s="13">
        <v>113211.266722956</v>
      </c>
      <c r="AC48" s="13">
        <v>648136.71498244803</v>
      </c>
      <c r="AD48" s="13">
        <v>404283.95727402403</v>
      </c>
      <c r="AE48" s="13">
        <v>647330.756484007</v>
      </c>
      <c r="AF48" s="13">
        <v>378519.75143522199</v>
      </c>
      <c r="AG48" s="13"/>
      <c r="AH48" s="13">
        <v>352194.10923361598</v>
      </c>
      <c r="AI48" s="12">
        <v>275519.63256300997</v>
      </c>
      <c r="AJ48" s="18">
        <v>0.17090130752704599</v>
      </c>
      <c r="AK48" s="13">
        <v>0.12760203614509699</v>
      </c>
      <c r="AL48" s="13">
        <v>5.4955526475691699E-2</v>
      </c>
      <c r="AM48" s="13">
        <v>0.67534084326829102</v>
      </c>
      <c r="AN48" s="13">
        <v>0.12847719576404701</v>
      </c>
      <c r="AO48" s="13">
        <v>0.56025524671600402</v>
      </c>
      <c r="AP48" s="13">
        <v>0.36920883719436998</v>
      </c>
      <c r="AQ48" s="13">
        <v>0.31458086216162401</v>
      </c>
      <c r="AR48" s="13"/>
      <c r="AS48" s="13">
        <v>0.85743066413945501</v>
      </c>
      <c r="AT48" s="12">
        <v>0.812522963520806</v>
      </c>
      <c r="AU48" s="18">
        <v>-1.0615084849629299</v>
      </c>
      <c r="AV48" s="33">
        <v>-0.87907079514310704</v>
      </c>
      <c r="AW48" s="33">
        <v>-1.3399733559718201</v>
      </c>
      <c r="AX48" s="33">
        <v>-26.332215668655</v>
      </c>
      <c r="AY48" s="33">
        <v>-4.6382719118342601</v>
      </c>
      <c r="AZ48" s="33">
        <v>-21.951564367118898</v>
      </c>
      <c r="BA48" s="33">
        <v>-7.9202862553596898</v>
      </c>
      <c r="BB48" s="33"/>
      <c r="BC48" s="33">
        <v>-0.41056260730519101</v>
      </c>
      <c r="BD48" s="12">
        <v>0.26410553841300899</v>
      </c>
      <c r="BE48" s="18">
        <v>26.681431749563</v>
      </c>
      <c r="BF48" s="33">
        <v>22.045510232572699</v>
      </c>
      <c r="BG48" s="33">
        <v>22.629310344827498</v>
      </c>
      <c r="BH48" s="33">
        <v>14.2253687096274</v>
      </c>
      <c r="BI48" s="33">
        <v>20.3862158368573</v>
      </c>
      <c r="BJ48" s="33">
        <v>14.022119601233699</v>
      </c>
      <c r="BK48" s="33">
        <v>21.110572028151999</v>
      </c>
      <c r="BL48" s="33"/>
      <c r="BM48" s="33">
        <v>28.2812350742979</v>
      </c>
      <c r="BN48" s="12">
        <v>28.622280458210799</v>
      </c>
      <c r="BO48" s="18">
        <v>0.51871202848381603</v>
      </c>
      <c r="BP48" s="13">
        <v>0.69841818251991705</v>
      </c>
      <c r="BQ48" s="13">
        <v>0.41209104086731202</v>
      </c>
      <c r="BR48" s="13">
        <v>0.98789822683692197</v>
      </c>
      <c r="BS48" s="13">
        <v>0.58064882935051898</v>
      </c>
      <c r="BT48" s="13">
        <v>0.97274513090040904</v>
      </c>
      <c r="BU48" s="13">
        <v>0.90403371040424896</v>
      </c>
      <c r="BV48" s="13">
        <v>0.87501797001936099</v>
      </c>
      <c r="BW48" s="13"/>
      <c r="BX48" s="13">
        <v>1</v>
      </c>
      <c r="BY48" s="12">
        <v>1</v>
      </c>
      <c r="BZ48" s="18">
        <v>10.537635315343501</v>
      </c>
      <c r="CA48" s="13">
        <v>0.23488904374844499</v>
      </c>
      <c r="CB48" s="13">
        <v>0.94445675579421595</v>
      </c>
      <c r="CC48" s="13">
        <v>-3.5204821200054899</v>
      </c>
      <c r="CD48" s="13">
        <v>1.45063894620912</v>
      </c>
      <c r="CE48" s="13">
        <v>0.92983307456170505</v>
      </c>
      <c r="CF48" s="13">
        <v>9.9900255434918996</v>
      </c>
      <c r="CG48" s="13"/>
      <c r="CH48" s="13">
        <v>5.9991108813388596</v>
      </c>
      <c r="CI48" s="12">
        <v>7.2583791413979499</v>
      </c>
      <c r="CJ48" s="18">
        <v>407.10412362942901</v>
      </c>
      <c r="CK48" s="13">
        <v>268.91365848307697</v>
      </c>
      <c r="CL48" s="13">
        <v>323.56974921630001</v>
      </c>
      <c r="CM48" s="13">
        <v>280.04059049702801</v>
      </c>
      <c r="CN48" s="13">
        <v>295.61689270739203</v>
      </c>
      <c r="CO48" s="13">
        <v>294.274592907689</v>
      </c>
      <c r="CP48" s="13">
        <v>337.13337460869701</v>
      </c>
      <c r="CQ48" s="13"/>
      <c r="CR48" s="13">
        <v>326.04175190391402</v>
      </c>
      <c r="CS48" s="12">
        <v>330.87992100416102</v>
      </c>
      <c r="CT48" s="18">
        <v>0.72473659003831403</v>
      </c>
      <c r="CU48" s="13">
        <v>0.98664581328200196</v>
      </c>
      <c r="CV48" s="13">
        <v>0.68845785440613005</v>
      </c>
      <c r="CW48" s="13">
        <v>1</v>
      </c>
      <c r="CX48" s="13">
        <v>1</v>
      </c>
      <c r="CY48" s="13">
        <v>1</v>
      </c>
      <c r="CZ48" s="13">
        <v>1</v>
      </c>
      <c r="DA48" s="13">
        <v>1</v>
      </c>
      <c r="DB48" s="13"/>
      <c r="DC48" s="13">
        <v>1</v>
      </c>
      <c r="DD48" s="12">
        <v>1</v>
      </c>
      <c r="DE48" s="18">
        <v>4.79406630567079</v>
      </c>
      <c r="DF48" s="13">
        <v>-7.3430144814637902E-2</v>
      </c>
      <c r="DG48" s="13">
        <v>0.39799246181724501</v>
      </c>
      <c r="DH48" s="13">
        <v>6.4811823020771699</v>
      </c>
      <c r="DI48" s="13">
        <v>5.0188786884461098</v>
      </c>
      <c r="DJ48" s="13">
        <v>6.3347474139228996</v>
      </c>
      <c r="DK48" s="13">
        <v>11.219104612191201</v>
      </c>
      <c r="DL48" s="13"/>
      <c r="DM48" s="13">
        <v>5.5641051426720596</v>
      </c>
      <c r="DN48" s="12">
        <v>5.1244941050998296</v>
      </c>
      <c r="DO48" s="13">
        <v>2461.0827506753499</v>
      </c>
      <c r="DP48" s="13">
        <v>1871.0060607657799</v>
      </c>
      <c r="DQ48" s="13">
        <v>2138.61677115987</v>
      </c>
      <c r="DR48" s="13">
        <v>2123.52008165289</v>
      </c>
      <c r="DS48" s="13">
        <v>2212.5471174219701</v>
      </c>
      <c r="DT48" s="13">
        <v>2131.2177003828201</v>
      </c>
      <c r="DU48" s="13">
        <v>2357.4674639333298</v>
      </c>
      <c r="DV48" s="13"/>
      <c r="DW48" s="13">
        <v>2145.7464061332598</v>
      </c>
      <c r="DX48" s="12">
        <v>2134.9854290921799</v>
      </c>
      <c r="DY48" s="18">
        <v>4.4642994396801896</v>
      </c>
      <c r="DZ48" s="13">
        <v>27.037887603309901</v>
      </c>
      <c r="EA48" s="13">
        <v>16.135734789623498</v>
      </c>
      <c r="EB48" s="13">
        <v>37.689224795088101</v>
      </c>
      <c r="EC48" s="13">
        <v>14.6728533722981</v>
      </c>
      <c r="ED48" s="5">
        <v>75.787120201107001</v>
      </c>
      <c r="EE48" s="12">
        <v>4013.5</v>
      </c>
    </row>
    <row r="49" spans="1:135" x14ac:dyDescent="0.2">
      <c r="A49" s="30"/>
      <c r="B49" s="5">
        <v>41</v>
      </c>
      <c r="C49" s="12" t="s">
        <v>150</v>
      </c>
      <c r="D49" s="13" t="s">
        <v>62</v>
      </c>
      <c r="E49" s="13" t="str">
        <f t="shared" si="1"/>
        <v>EMT_low</v>
      </c>
      <c r="F49" s="13" t="s">
        <v>63</v>
      </c>
      <c r="G49" s="13" t="s">
        <v>64</v>
      </c>
      <c r="H49" s="13">
        <v>1</v>
      </c>
      <c r="I49" s="13" t="s">
        <v>64</v>
      </c>
      <c r="J49" s="13" t="s">
        <v>65</v>
      </c>
      <c r="K49" s="13" t="s">
        <v>80</v>
      </c>
      <c r="L49" s="13">
        <v>0.4415</v>
      </c>
      <c r="M49" s="13">
        <v>741</v>
      </c>
      <c r="N49" s="13">
        <v>-0.22189999999999999</v>
      </c>
      <c r="O49" s="13">
        <v>0.36430000000000001</v>
      </c>
      <c r="P49" s="13"/>
      <c r="Q49" s="13"/>
      <c r="R49" s="13"/>
      <c r="S49" s="13"/>
      <c r="T49" s="13" t="s">
        <v>69</v>
      </c>
      <c r="U49" s="5">
        <v>2.6</v>
      </c>
      <c r="V49" s="12">
        <v>0</v>
      </c>
      <c r="W49" s="5">
        <v>1396</v>
      </c>
      <c r="X49" s="18">
        <v>21984.900649342399</v>
      </c>
      <c r="Y49" s="13">
        <v>52198.7846237673</v>
      </c>
      <c r="Z49" s="13">
        <v>107401.761161225</v>
      </c>
      <c r="AA49" s="13">
        <v>70939.504775394802</v>
      </c>
      <c r="AB49" s="13">
        <v>724987.12128229998</v>
      </c>
      <c r="AC49" s="13">
        <v>1411412.8064850401</v>
      </c>
      <c r="AD49" s="13">
        <v>178058.25275092799</v>
      </c>
      <c r="AE49" s="13">
        <v>316786.63904892799</v>
      </c>
      <c r="AF49" s="13">
        <v>23139.355159987299</v>
      </c>
      <c r="AG49" s="13">
        <v>7843.1300477243904</v>
      </c>
      <c r="AH49" s="13">
        <v>619331.09502297395</v>
      </c>
      <c r="AI49" s="12">
        <v>294192.70808739198</v>
      </c>
      <c r="AJ49" s="18">
        <v>6.5872100474176604E-2</v>
      </c>
      <c r="AK49" s="13">
        <v>0.29206513310933002</v>
      </c>
      <c r="AL49" s="13">
        <v>0.38183491062039898</v>
      </c>
      <c r="AM49" s="13">
        <v>7.5974025974025902E-2</v>
      </c>
      <c r="AN49" s="13">
        <v>0.52218750000000003</v>
      </c>
      <c r="AO49" s="13">
        <v>0.80477137176938296</v>
      </c>
      <c r="AP49" s="13">
        <v>0.20026578073089699</v>
      </c>
      <c r="AQ49" s="13">
        <v>3.66150300857764E-2</v>
      </c>
      <c r="AR49" s="13">
        <v>6.7868098159509199E-2</v>
      </c>
      <c r="AS49" s="13">
        <v>0.973732437385461</v>
      </c>
      <c r="AT49" s="12">
        <v>0.790235829540753</v>
      </c>
      <c r="AU49" s="18">
        <v>-8.0097439922769809</v>
      </c>
      <c r="AV49" s="33">
        <v>-7.8633224549440301</v>
      </c>
      <c r="AW49" s="33">
        <v>-10.4186291696263</v>
      </c>
      <c r="AX49" s="33">
        <v>-6.5257972290909203</v>
      </c>
      <c r="AY49" s="33">
        <v>0.76290963083775698</v>
      </c>
      <c r="AZ49" s="33">
        <v>-25.185743860785401</v>
      </c>
      <c r="BA49" s="33">
        <v>-7.0578876144692302</v>
      </c>
      <c r="BB49" s="33">
        <v>-4.2651397223987599</v>
      </c>
      <c r="BC49" s="33">
        <v>-9.9631293172967403</v>
      </c>
      <c r="BD49" s="12">
        <v>-9.6279140022252108</v>
      </c>
      <c r="BE49" s="18">
        <v>0</v>
      </c>
      <c r="BF49" s="33">
        <v>15.772283669486001</v>
      </c>
      <c r="BG49" s="33">
        <v>17.5020455873758</v>
      </c>
      <c r="BH49" s="33">
        <v>22.025143678160902</v>
      </c>
      <c r="BI49" s="33">
        <v>40.0462317317795</v>
      </c>
      <c r="BJ49" s="33">
        <v>23.1620591623164</v>
      </c>
      <c r="BK49" s="33">
        <v>0</v>
      </c>
      <c r="BL49" s="33">
        <v>9.8344827586206893</v>
      </c>
      <c r="BM49" s="33">
        <v>30.429225202213701</v>
      </c>
      <c r="BN49" s="12">
        <v>26.244635692271899</v>
      </c>
      <c r="BO49" s="18">
        <v>0.43816480840702199</v>
      </c>
      <c r="BP49" s="13">
        <v>0.92181442233135102</v>
      </c>
      <c r="BQ49" s="13">
        <v>0.97883806519453198</v>
      </c>
      <c r="BR49" s="13">
        <v>0.40324675324675302</v>
      </c>
      <c r="BS49" s="13">
        <v>0.95046874999999997</v>
      </c>
      <c r="BT49" s="13">
        <v>0.99443339960238497</v>
      </c>
      <c r="BU49" s="13">
        <v>0.78405315614617899</v>
      </c>
      <c r="BV49" s="13">
        <v>0.219946229676097</v>
      </c>
      <c r="BW49" s="13">
        <v>0.57758179959100198</v>
      </c>
      <c r="BX49" s="13">
        <v>1</v>
      </c>
      <c r="BY49" s="12">
        <v>1</v>
      </c>
      <c r="BZ49" s="18">
        <v>-11.8967673567997</v>
      </c>
      <c r="CA49" s="13">
        <v>-3.07243186584761</v>
      </c>
      <c r="CB49" s="13">
        <v>-4.9366932597356401</v>
      </c>
      <c r="CC49" s="13">
        <v>-0.79570672270118403</v>
      </c>
      <c r="CD49" s="13">
        <v>36.938185275897197</v>
      </c>
      <c r="CE49" s="13">
        <v>6.3139462023611603</v>
      </c>
      <c r="CF49" s="13">
        <v>-8.7515861233087495</v>
      </c>
      <c r="CG49" s="13">
        <v>-4.1453375293469596</v>
      </c>
      <c r="CH49" s="13">
        <v>-0.189029232007172</v>
      </c>
      <c r="CI49" s="12">
        <v>2.7670865976970398</v>
      </c>
      <c r="CJ49" s="18">
        <v>168.50546677880499</v>
      </c>
      <c r="CK49" s="13">
        <v>385.26122316200298</v>
      </c>
      <c r="CL49" s="13">
        <v>378.37755698421898</v>
      </c>
      <c r="CM49" s="13">
        <v>420.18510536398401</v>
      </c>
      <c r="CN49" s="13">
        <v>662.68681344923095</v>
      </c>
      <c r="CO49" s="13">
        <v>467.45246673038702</v>
      </c>
      <c r="CP49" s="13">
        <v>206.37513061650901</v>
      </c>
      <c r="CQ49" s="13">
        <v>297.49310344827501</v>
      </c>
      <c r="CR49" s="13">
        <v>429.42390378884602</v>
      </c>
      <c r="CS49" s="12">
        <v>451.465778914927</v>
      </c>
      <c r="CT49" s="18">
        <v>0.99897475330001195</v>
      </c>
      <c r="CU49" s="13">
        <v>1</v>
      </c>
      <c r="CV49" s="13">
        <v>1</v>
      </c>
      <c r="CW49" s="13">
        <v>0.99597402597402596</v>
      </c>
      <c r="CX49" s="13">
        <v>1</v>
      </c>
      <c r="CY49" s="13">
        <v>1</v>
      </c>
      <c r="CZ49" s="13">
        <v>1</v>
      </c>
      <c r="DA49" s="13">
        <v>0.76008193573166005</v>
      </c>
      <c r="DB49" s="13">
        <v>1</v>
      </c>
      <c r="DC49" s="13">
        <v>1</v>
      </c>
      <c r="DD49" s="12">
        <v>1</v>
      </c>
      <c r="DE49" s="18">
        <v>-1.5420711566913601</v>
      </c>
      <c r="DF49" s="13">
        <v>4.1967498375635701</v>
      </c>
      <c r="DG49" s="13">
        <v>3.0511240055246001</v>
      </c>
      <c r="DH49" s="13">
        <v>-0.29726295592447599</v>
      </c>
      <c r="DI49" s="13">
        <v>13.5179247291368</v>
      </c>
      <c r="DJ49" s="13">
        <v>8.8032951027008508</v>
      </c>
      <c r="DK49" s="13">
        <v>1.8815172431354901</v>
      </c>
      <c r="DL49" s="13">
        <v>4.2911217362815003E-3</v>
      </c>
      <c r="DM49" s="13">
        <v>5.4458188270876899</v>
      </c>
      <c r="DN49" s="12">
        <v>9.3555188984020408</v>
      </c>
      <c r="DO49" s="13">
        <v>2743.46089150546</v>
      </c>
      <c r="DP49" s="13">
        <v>3354.3936239427399</v>
      </c>
      <c r="DQ49" s="13">
        <v>3165.1616014026799</v>
      </c>
      <c r="DR49" s="13">
        <v>2928.6611590038301</v>
      </c>
      <c r="DS49" s="13">
        <v>3582.94588785939</v>
      </c>
      <c r="DT49" s="13">
        <v>3336.7606671078101</v>
      </c>
      <c r="DU49" s="13">
        <v>3248.3594566353099</v>
      </c>
      <c r="DV49" s="13">
        <v>2963.8672413793101</v>
      </c>
      <c r="DW49" s="13">
        <v>3206.83056619838</v>
      </c>
      <c r="DX49" s="12">
        <v>3453.3462813281299</v>
      </c>
      <c r="DY49" s="18">
        <v>31.047538914598199</v>
      </c>
      <c r="DZ49" s="13">
        <v>58.519141775347002</v>
      </c>
      <c r="EA49" s="13">
        <v>6.7101388304585603</v>
      </c>
      <c r="EB49" s="13">
        <v>3.0290281867900699</v>
      </c>
      <c r="EC49" s="13">
        <v>0.69415229280605795</v>
      </c>
      <c r="ED49" s="5">
        <v>67.470905478285502</v>
      </c>
      <c r="EE49" s="12">
        <v>7046</v>
      </c>
    </row>
    <row r="50" spans="1:135" x14ac:dyDescent="0.2">
      <c r="A50" s="30"/>
      <c r="B50" s="5">
        <v>42</v>
      </c>
      <c r="C50" s="12" t="s">
        <v>151</v>
      </c>
      <c r="D50" s="13" t="s">
        <v>71</v>
      </c>
      <c r="E50" s="13" t="str">
        <f t="shared" si="1"/>
        <v>EMT_low</v>
      </c>
      <c r="F50" s="13" t="s">
        <v>63</v>
      </c>
      <c r="G50" s="13" t="s">
        <v>64</v>
      </c>
      <c r="H50" s="13">
        <v>1</v>
      </c>
      <c r="I50" s="13" t="s">
        <v>64</v>
      </c>
      <c r="J50" s="13" t="s">
        <v>65</v>
      </c>
      <c r="K50" s="13" t="s">
        <v>80</v>
      </c>
      <c r="L50" s="13">
        <v>0.17119999999999999</v>
      </c>
      <c r="M50" s="13">
        <v>1812</v>
      </c>
      <c r="N50" s="13">
        <v>-0.40429999999999999</v>
      </c>
      <c r="O50" s="13">
        <v>-0.24759999999999999</v>
      </c>
      <c r="P50" s="13" t="s">
        <v>152</v>
      </c>
      <c r="Q50" s="13" t="s">
        <v>68</v>
      </c>
      <c r="R50" s="13">
        <v>30.909700000000001</v>
      </c>
      <c r="S50" s="13">
        <v>6.0243000000000002</v>
      </c>
      <c r="T50" s="13" t="s">
        <v>73</v>
      </c>
      <c r="U50" s="5">
        <v>1.1000000000000001</v>
      </c>
      <c r="V50" s="12">
        <v>0</v>
      </c>
      <c r="W50" s="5">
        <v>3991</v>
      </c>
      <c r="X50" s="18">
        <v>595425.95251381199</v>
      </c>
      <c r="Y50" s="13">
        <v>158994.58982207999</v>
      </c>
      <c r="Z50" s="13">
        <v>1306469.6428787799</v>
      </c>
      <c r="AA50" s="13">
        <v>34491.903385392397</v>
      </c>
      <c r="AB50" s="13">
        <v>107841.443725868</v>
      </c>
      <c r="AC50" s="13">
        <v>153887.383080197</v>
      </c>
      <c r="AD50" s="13">
        <v>49003.917411185401</v>
      </c>
      <c r="AE50" s="13">
        <v>141756.53512004099</v>
      </c>
      <c r="AF50" s="13">
        <v>452968.201817505</v>
      </c>
      <c r="AG50" s="13">
        <v>27087.991676568501</v>
      </c>
      <c r="AH50" s="13">
        <v>425934.72759126499</v>
      </c>
      <c r="AI50" s="12">
        <v>497157.123725557</v>
      </c>
      <c r="AJ50" s="18">
        <v>0.58761141032904796</v>
      </c>
      <c r="AK50" s="13">
        <v>0.335238837206628</v>
      </c>
      <c r="AL50" s="13">
        <v>0.89333929105158705</v>
      </c>
      <c r="AM50" s="13">
        <v>3.4411276948590301E-2</v>
      </c>
      <c r="AN50" s="13">
        <v>6.8176712382783403E-2</v>
      </c>
      <c r="AO50" s="13">
        <v>7.7997967479674801E-2</v>
      </c>
      <c r="AP50" s="13">
        <v>4.0605023184723803E-2</v>
      </c>
      <c r="AQ50" s="13">
        <v>0.225875424196334</v>
      </c>
      <c r="AR50" s="13">
        <v>0.13267424818152199</v>
      </c>
      <c r="AS50" s="13">
        <v>0.65156654844133899</v>
      </c>
      <c r="AT50" s="12">
        <v>0.58949783622284102</v>
      </c>
      <c r="AU50" s="18">
        <v>-4.6847186080766896</v>
      </c>
      <c r="AV50" s="33">
        <v>-2.34259731521596</v>
      </c>
      <c r="AW50" s="33">
        <v>-4.1496648291487999</v>
      </c>
      <c r="AX50" s="33">
        <v>-2.0995151836270201</v>
      </c>
      <c r="AY50" s="33">
        <v>-0.54401445881398902</v>
      </c>
      <c r="AZ50" s="33">
        <v>-0.56144339147229405</v>
      </c>
      <c r="BA50" s="33">
        <v>7.3656982530035497</v>
      </c>
      <c r="BB50" s="33">
        <v>-0.61260832463728199</v>
      </c>
      <c r="BC50" s="33">
        <v>-2.4081697291462301</v>
      </c>
      <c r="BD50" s="12">
        <v>-2.7386800834275302</v>
      </c>
      <c r="BE50" s="18">
        <v>2.1909436986575801</v>
      </c>
      <c r="BF50" s="33">
        <v>1.3545150501672201</v>
      </c>
      <c r="BG50" s="33">
        <v>8.2440013646184696</v>
      </c>
      <c r="BH50" s="33"/>
      <c r="BI50" s="33">
        <v>11.2876254180602</v>
      </c>
      <c r="BJ50" s="33"/>
      <c r="BK50" s="33">
        <v>29.3120360551431</v>
      </c>
      <c r="BL50" s="33"/>
      <c r="BM50" s="33">
        <v>5.2350176263219703</v>
      </c>
      <c r="BN50" s="12">
        <v>4.5279503105590004</v>
      </c>
      <c r="BO50" s="18">
        <v>0.96647678273592097</v>
      </c>
      <c r="BP50" s="13">
        <v>0.83254991733884998</v>
      </c>
      <c r="BQ50" s="13">
        <v>0.99871216999356005</v>
      </c>
      <c r="BR50" s="13">
        <v>0.22180762852404601</v>
      </c>
      <c r="BS50" s="13">
        <v>0.335960811103165</v>
      </c>
      <c r="BT50" s="13">
        <v>0.37754065040650397</v>
      </c>
      <c r="BU50" s="13">
        <v>0.242556361082711</v>
      </c>
      <c r="BV50" s="13">
        <v>0.66897942049582604</v>
      </c>
      <c r="BW50" s="13">
        <v>0.702757407973996</v>
      </c>
      <c r="BX50" s="13">
        <v>0.99932095971027601</v>
      </c>
      <c r="BY50" s="12">
        <v>0.97540206152481501</v>
      </c>
      <c r="BZ50" s="18">
        <v>-1.3550430148163299</v>
      </c>
      <c r="CA50" s="13">
        <v>-3.9591903838119702</v>
      </c>
      <c r="CB50" s="13">
        <v>-1.7656997625659301</v>
      </c>
      <c r="CC50" s="13">
        <v>-2.0428988206666698</v>
      </c>
      <c r="CD50" s="13">
        <v>5.4977326966215401</v>
      </c>
      <c r="CE50" s="13">
        <v>-0.27745237578367199</v>
      </c>
      <c r="CF50" s="13">
        <v>22.622640867844101</v>
      </c>
      <c r="CG50" s="13">
        <v>-2.09014038882348</v>
      </c>
      <c r="CH50" s="13">
        <v>4.6430398808795204</v>
      </c>
      <c r="CI50" s="12">
        <v>-2.0386919864667101</v>
      </c>
      <c r="CJ50" s="18">
        <v>147.76698056501701</v>
      </c>
      <c r="CK50" s="13">
        <v>63.662207357859501</v>
      </c>
      <c r="CL50" s="13">
        <v>135.03582123497901</v>
      </c>
      <c r="CM50" s="13"/>
      <c r="CN50" s="13">
        <v>248.77926421404601</v>
      </c>
      <c r="CO50" s="13"/>
      <c r="CP50" s="13">
        <v>328.87460233297901</v>
      </c>
      <c r="CQ50" s="13"/>
      <c r="CR50" s="13">
        <v>139.917743830787</v>
      </c>
      <c r="CS50" s="12">
        <v>118.481366459627</v>
      </c>
      <c r="CT50" s="18">
        <v>1</v>
      </c>
      <c r="CU50" s="13">
        <v>1</v>
      </c>
      <c r="CV50" s="13">
        <v>1</v>
      </c>
      <c r="CW50" s="13">
        <v>0.85613598673300095</v>
      </c>
      <c r="CX50" s="13">
        <v>0.80123304562268804</v>
      </c>
      <c r="CY50" s="13">
        <v>0.96646341463414598</v>
      </c>
      <c r="CZ50" s="13">
        <v>0.63190946081316901</v>
      </c>
      <c r="DA50" s="13">
        <v>0.99100705041154602</v>
      </c>
      <c r="DB50" s="13">
        <v>1</v>
      </c>
      <c r="DC50" s="13">
        <v>1</v>
      </c>
      <c r="DD50" s="12">
        <v>1</v>
      </c>
      <c r="DE50" s="18">
        <v>0.135347666428659</v>
      </c>
      <c r="DF50" s="13">
        <v>-1.4983240192334699</v>
      </c>
      <c r="DG50" s="13">
        <v>0.63768505134917897</v>
      </c>
      <c r="DH50" s="13">
        <v>-0.30343888388635198</v>
      </c>
      <c r="DI50" s="13">
        <v>-0.75048600199618598</v>
      </c>
      <c r="DJ50" s="13">
        <v>6.4923882420130496</v>
      </c>
      <c r="DK50" s="13">
        <v>7.1704427249075202</v>
      </c>
      <c r="DL50" s="13">
        <v>-1.0144350645673801</v>
      </c>
      <c r="DM50" s="13">
        <v>4.1006073166946004</v>
      </c>
      <c r="DN50" s="12">
        <v>-0.87004857046325901</v>
      </c>
      <c r="DO50" s="13">
        <v>1058.4692446403501</v>
      </c>
      <c r="DP50" s="13">
        <v>902.10702341137096</v>
      </c>
      <c r="DQ50" s="13">
        <v>1096.0837345058901</v>
      </c>
      <c r="DR50" s="13"/>
      <c r="DS50" s="13">
        <v>1032.1404682274199</v>
      </c>
      <c r="DT50" s="13"/>
      <c r="DU50" s="13">
        <v>1261.54493637327</v>
      </c>
      <c r="DV50" s="13"/>
      <c r="DW50" s="13">
        <v>1082.9347826086901</v>
      </c>
      <c r="DX50" s="12">
        <v>1044.82453416149</v>
      </c>
      <c r="DY50" s="18">
        <v>12.450980392156801</v>
      </c>
      <c r="DZ50" s="13">
        <v>13.9433551198257</v>
      </c>
      <c r="EA50" s="13">
        <v>4.9455337690631804</v>
      </c>
      <c r="EB50" s="13">
        <v>1.86274509803921</v>
      </c>
      <c r="EC50" s="13">
        <v>66.797385620914994</v>
      </c>
      <c r="ED50" s="5">
        <v>16.9075039758199</v>
      </c>
      <c r="EE50" s="12">
        <v>3133</v>
      </c>
    </row>
    <row r="51" spans="1:135" x14ac:dyDescent="0.2">
      <c r="A51" s="30"/>
      <c r="B51" s="5">
        <v>44</v>
      </c>
      <c r="C51" s="12" t="s">
        <v>154</v>
      </c>
      <c r="D51" s="13" t="s">
        <v>71</v>
      </c>
      <c r="E51" s="13" t="str">
        <f t="shared" si="1"/>
        <v>EMT_low</v>
      </c>
      <c r="F51" s="13" t="s">
        <v>63</v>
      </c>
      <c r="G51" s="13" t="s">
        <v>64</v>
      </c>
      <c r="H51" s="13">
        <v>0</v>
      </c>
      <c r="I51" s="13" t="s">
        <v>64</v>
      </c>
      <c r="J51" s="13" t="s">
        <v>65</v>
      </c>
      <c r="K51" s="13" t="s">
        <v>80</v>
      </c>
      <c r="L51" s="13">
        <v>0.20569999999999999</v>
      </c>
      <c r="M51" s="13">
        <v>339</v>
      </c>
      <c r="N51" s="13">
        <v>-0.18060000000000001</v>
      </c>
      <c r="O51" s="13">
        <v>-5.6099999999999997E-2</v>
      </c>
      <c r="P51" s="13" t="s">
        <v>155</v>
      </c>
      <c r="Q51" s="13" t="s">
        <v>68</v>
      </c>
      <c r="R51" s="13">
        <v>95.729200000000006</v>
      </c>
      <c r="S51" s="13">
        <v>31.0364</v>
      </c>
      <c r="T51" s="13" t="s">
        <v>73</v>
      </c>
      <c r="U51" s="5">
        <v>2.6</v>
      </c>
      <c r="V51" s="12">
        <v>0</v>
      </c>
      <c r="W51" s="5">
        <v>3007</v>
      </c>
      <c r="X51" s="18">
        <v>1740.0629787841799</v>
      </c>
      <c r="Y51" s="13">
        <v>86384.763565837595</v>
      </c>
      <c r="Z51" s="13">
        <v>177928.43627642599</v>
      </c>
      <c r="AA51" s="13">
        <v>58762.208009659204</v>
      </c>
      <c r="AB51" s="13">
        <v>27620.1328012349</v>
      </c>
      <c r="AC51" s="13">
        <v>132785.98005744201</v>
      </c>
      <c r="AD51" s="13">
        <v>34296.781482524399</v>
      </c>
      <c r="AE51" s="13">
        <v>364907.223540053</v>
      </c>
      <c r="AF51" s="13">
        <v>2186811.8326583202</v>
      </c>
      <c r="AG51" s="13">
        <v>1808.61653824728</v>
      </c>
      <c r="AH51" s="13">
        <v>605912.42843482504</v>
      </c>
      <c r="AI51" s="12">
        <v>213676.86227181999</v>
      </c>
      <c r="AJ51" s="18">
        <v>9.7234433194415999E-3</v>
      </c>
      <c r="AK51" s="13">
        <v>0.304903394965506</v>
      </c>
      <c r="AL51" s="13">
        <v>0.34117547237239698</v>
      </c>
      <c r="AM51" s="13">
        <v>5.4433355485611103E-2</v>
      </c>
      <c r="AN51" s="13">
        <v>2.9192492204634699E-2</v>
      </c>
      <c r="AO51" s="13">
        <v>0.109824603750069</v>
      </c>
      <c r="AP51" s="13">
        <v>3.3348506866023503E-2</v>
      </c>
      <c r="AQ51" s="13">
        <v>0.773463056014568</v>
      </c>
      <c r="AR51" s="13">
        <v>2.32184617739691E-2</v>
      </c>
      <c r="AS51" s="13">
        <v>0.77301636734465995</v>
      </c>
      <c r="AT51" s="12">
        <v>0.53463056094889605</v>
      </c>
      <c r="AU51" s="18">
        <v>-0.64847166781107402</v>
      </c>
      <c r="AV51" s="33">
        <v>0.74405282133492301</v>
      </c>
      <c r="AW51" s="33">
        <v>-2.93522975923395</v>
      </c>
      <c r="AX51" s="33">
        <v>0.78776891946906902</v>
      </c>
      <c r="AY51" s="33">
        <v>1.48382022843607</v>
      </c>
      <c r="AZ51" s="33">
        <v>-4.6122373825954703</v>
      </c>
      <c r="BA51" s="33">
        <v>-4.9782484298106597</v>
      </c>
      <c r="BB51" s="33">
        <v>1.83974784107629</v>
      </c>
      <c r="BC51" s="33">
        <v>4.0306798493946401</v>
      </c>
      <c r="BD51" s="12">
        <v>-1.3124856375870899</v>
      </c>
      <c r="BE51" s="18"/>
      <c r="BF51" s="33">
        <v>32.260963619894497</v>
      </c>
      <c r="BG51" s="33">
        <v>6.1012118986411998</v>
      </c>
      <c r="BH51" s="33">
        <v>50.697522816166803</v>
      </c>
      <c r="BI51" s="33">
        <v>43.72</v>
      </c>
      <c r="BJ51" s="33">
        <v>0</v>
      </c>
      <c r="BK51" s="33">
        <v>17.585215776397401</v>
      </c>
      <c r="BL51" s="33"/>
      <c r="BM51" s="33">
        <v>44.4513056976662</v>
      </c>
      <c r="BN51" s="12">
        <v>25.7336855347403</v>
      </c>
      <c r="BO51" s="18">
        <v>0.11692716008114699</v>
      </c>
      <c r="BP51" s="13">
        <v>0.98612756500955201</v>
      </c>
      <c r="BQ51" s="13">
        <v>0.78748417435340901</v>
      </c>
      <c r="BR51" s="13">
        <v>0.26485239904452401</v>
      </c>
      <c r="BS51" s="13">
        <v>0.20689557765021799</v>
      </c>
      <c r="BT51" s="13">
        <v>0.52730488151798804</v>
      </c>
      <c r="BU51" s="13">
        <v>0.208211799172458</v>
      </c>
      <c r="BV51" s="13">
        <v>0.95818207445763304</v>
      </c>
      <c r="BW51" s="13">
        <v>0.23258876204989201</v>
      </c>
      <c r="BX51" s="13">
        <v>1</v>
      </c>
      <c r="BY51" s="12">
        <v>0.99978282020343301</v>
      </c>
      <c r="BZ51" s="18">
        <v>-1.6646278903269101</v>
      </c>
      <c r="CA51" s="13">
        <v>2.85463361919679</v>
      </c>
      <c r="CB51" s="13">
        <v>-2.25859185369423</v>
      </c>
      <c r="CC51" s="13">
        <v>9.25754517123843</v>
      </c>
      <c r="CD51" s="13">
        <v>1.72376694677311</v>
      </c>
      <c r="CE51" s="13">
        <v>-6.4854765847728304</v>
      </c>
      <c r="CF51" s="13">
        <v>3.5109139741292101</v>
      </c>
      <c r="CG51" s="13">
        <v>-1.3215736566190801</v>
      </c>
      <c r="CH51" s="13">
        <v>3.4550614446978201</v>
      </c>
      <c r="CI51" s="12">
        <v>0.60270915028268301</v>
      </c>
      <c r="CJ51" s="18"/>
      <c r="CK51" s="13">
        <v>352.77961198587002</v>
      </c>
      <c r="CL51" s="13">
        <v>152.77071286801299</v>
      </c>
      <c r="CM51" s="13">
        <v>673.55280312907405</v>
      </c>
      <c r="CN51" s="13">
        <v>325.21518315018301</v>
      </c>
      <c r="CO51" s="13">
        <v>131.61287394547301</v>
      </c>
      <c r="CP51" s="13">
        <v>314.45876649002599</v>
      </c>
      <c r="CQ51" s="13"/>
      <c r="CR51" s="13">
        <v>359.41316133362</v>
      </c>
      <c r="CS51" s="12">
        <v>324.17470656924201</v>
      </c>
      <c r="CT51" s="18">
        <v>0.68069938130341601</v>
      </c>
      <c r="CU51" s="13">
        <v>1</v>
      </c>
      <c r="CV51" s="13">
        <v>1</v>
      </c>
      <c r="CW51" s="13">
        <v>0.71654587765929401</v>
      </c>
      <c r="CX51" s="13">
        <v>0.75170916858666703</v>
      </c>
      <c r="CY51" s="13">
        <v>0.99978972539854905</v>
      </c>
      <c r="CZ51" s="13">
        <v>0.76836822828996698</v>
      </c>
      <c r="DA51" s="13">
        <v>1</v>
      </c>
      <c r="DB51" s="13">
        <v>0.79969391429600201</v>
      </c>
      <c r="DC51" s="13">
        <v>1</v>
      </c>
      <c r="DD51" s="12">
        <v>1</v>
      </c>
      <c r="DE51" s="18">
        <v>0.16677748997785599</v>
      </c>
      <c r="DF51" s="13">
        <v>0.82003291040791104</v>
      </c>
      <c r="DG51" s="13">
        <v>-3.0452765592103099</v>
      </c>
      <c r="DH51" s="13">
        <v>9.9490181002690896</v>
      </c>
      <c r="DI51" s="13">
        <v>3.3057724955035299</v>
      </c>
      <c r="DJ51" s="13">
        <v>-2.35705128692272</v>
      </c>
      <c r="DK51" s="13">
        <v>4.0455381046181902</v>
      </c>
      <c r="DL51" s="13">
        <v>-2.2886090752291599</v>
      </c>
      <c r="DM51" s="13">
        <v>3.0326349061043998</v>
      </c>
      <c r="DN51" s="12">
        <v>-0.94846778482051997</v>
      </c>
      <c r="DO51" s="13"/>
      <c r="DP51" s="13">
        <v>2009.04393805528</v>
      </c>
      <c r="DQ51" s="13">
        <v>1354.8391222078801</v>
      </c>
      <c r="DR51" s="13">
        <v>3733.5104302477098</v>
      </c>
      <c r="DS51" s="13">
        <v>2487.72739926739</v>
      </c>
      <c r="DT51" s="13">
        <v>1671.2967107756101</v>
      </c>
      <c r="DU51" s="13">
        <v>2233.63637094143</v>
      </c>
      <c r="DV51" s="13"/>
      <c r="DW51" s="13">
        <v>2277.9804553915001</v>
      </c>
      <c r="DX51" s="12">
        <v>1832.34934149887</v>
      </c>
      <c r="DY51" s="18">
        <v>0.84430563804926695</v>
      </c>
      <c r="DZ51" s="13">
        <v>4.8438138118201302</v>
      </c>
      <c r="EA51" s="13">
        <v>1.12802286447595</v>
      </c>
      <c r="EB51" s="13">
        <v>1.6909070963211299</v>
      </c>
      <c r="EC51" s="13">
        <v>91.492950589333503</v>
      </c>
      <c r="ED51" s="5">
        <v>67.026083542564805</v>
      </c>
      <c r="EE51" s="12">
        <v>4418</v>
      </c>
    </row>
    <row r="52" spans="1:135" x14ac:dyDescent="0.2">
      <c r="A52" s="30"/>
      <c r="B52" s="5">
        <v>46</v>
      </c>
      <c r="C52" s="12" t="s">
        <v>158</v>
      </c>
      <c r="D52" s="13" t="s">
        <v>62</v>
      </c>
      <c r="E52" s="13" t="str">
        <f t="shared" si="1"/>
        <v>EMT_low</v>
      </c>
      <c r="F52" s="13" t="s">
        <v>63</v>
      </c>
      <c r="G52" s="13" t="s">
        <v>64</v>
      </c>
      <c r="H52" s="13">
        <v>1</v>
      </c>
      <c r="I52" s="13" t="s">
        <v>64</v>
      </c>
      <c r="J52" s="13" t="s">
        <v>65</v>
      </c>
      <c r="K52" s="13" t="s">
        <v>66</v>
      </c>
      <c r="L52" s="13">
        <v>0.18590000000000001</v>
      </c>
      <c r="M52" s="13">
        <v>446</v>
      </c>
      <c r="N52" s="13">
        <v>0.20069999999999999</v>
      </c>
      <c r="O52" s="13">
        <v>-0.29449999999999998</v>
      </c>
      <c r="P52" s="13"/>
      <c r="Q52" s="13"/>
      <c r="R52" s="13"/>
      <c r="S52" s="13"/>
      <c r="T52" s="13" t="s">
        <v>69</v>
      </c>
      <c r="U52" s="5">
        <v>0.53</v>
      </c>
      <c r="V52" s="12">
        <v>0</v>
      </c>
      <c r="W52" s="5">
        <v>2166</v>
      </c>
      <c r="X52" s="18"/>
      <c r="Y52" s="13">
        <v>32355.083973733599</v>
      </c>
      <c r="Z52" s="13">
        <v>4520.8794968121701</v>
      </c>
      <c r="AA52" s="13">
        <v>660660.57481782197</v>
      </c>
      <c r="AB52" s="13">
        <v>1949170.34249482</v>
      </c>
      <c r="AC52" s="13">
        <v>359674.06117385899</v>
      </c>
      <c r="AD52" s="13">
        <v>19627.6046544155</v>
      </c>
      <c r="AE52" s="13">
        <v>409087.07984315697</v>
      </c>
      <c r="AF52" s="13">
        <v>18099.6934209254</v>
      </c>
      <c r="AG52" s="13"/>
      <c r="AH52" s="13">
        <v>97596.945526143696</v>
      </c>
      <c r="AI52" s="12">
        <v>144922.21466386999</v>
      </c>
      <c r="AJ52" s="18"/>
      <c r="AK52" s="13">
        <v>0.15640044438958101</v>
      </c>
      <c r="AL52" s="13">
        <v>2.87919627542269E-2</v>
      </c>
      <c r="AM52" s="13">
        <v>0.48533529845246798</v>
      </c>
      <c r="AN52" s="13">
        <v>0.92033109156751103</v>
      </c>
      <c r="AO52" s="13">
        <v>0.27513085491880201</v>
      </c>
      <c r="AP52" s="13">
        <v>9.5717265922199007E-3</v>
      </c>
      <c r="AQ52" s="13">
        <v>1.62102419255802E-2</v>
      </c>
      <c r="AR52" s="13"/>
      <c r="AS52" s="13">
        <v>0.56672116714878595</v>
      </c>
      <c r="AT52" s="12">
        <v>0.72448069325857001</v>
      </c>
      <c r="AU52" s="18"/>
      <c r="AV52" s="33">
        <v>-2.8001188604704499</v>
      </c>
      <c r="AW52" s="33">
        <v>11.8741179976999</v>
      </c>
      <c r="AX52" s="33">
        <v>-8.4354857959345804</v>
      </c>
      <c r="AY52" s="33">
        <v>-12.3229822145389</v>
      </c>
      <c r="AZ52" s="33">
        <v>7.61298141413124</v>
      </c>
      <c r="BA52" s="33">
        <v>-1.7705273276489599</v>
      </c>
      <c r="BB52" s="33"/>
      <c r="BC52" s="33">
        <v>2.3638000051560102</v>
      </c>
      <c r="BD52" s="12">
        <v>-3.0433103969081601</v>
      </c>
      <c r="BE52" s="18"/>
      <c r="BF52" s="33">
        <v>0</v>
      </c>
      <c r="BG52" s="33"/>
      <c r="BH52" s="33">
        <v>12.038400050155101</v>
      </c>
      <c r="BI52" s="33">
        <v>17.0782628889921</v>
      </c>
      <c r="BJ52" s="33">
        <v>73.910028342278196</v>
      </c>
      <c r="BK52" s="33">
        <v>0</v>
      </c>
      <c r="BL52" s="33"/>
      <c r="BM52" s="33">
        <v>59.478064135353101</v>
      </c>
      <c r="BN52" s="12">
        <v>20.769096989966499</v>
      </c>
      <c r="BO52" s="18"/>
      <c r="BP52" s="13">
        <v>0.72151586223922903</v>
      </c>
      <c r="BQ52" s="13">
        <v>0.29245283018867901</v>
      </c>
      <c r="BR52" s="13">
        <v>0.97921886514369905</v>
      </c>
      <c r="BS52" s="13">
        <v>1</v>
      </c>
      <c r="BT52" s="13">
        <v>0.79130318078110295</v>
      </c>
      <c r="BU52" s="13">
        <v>7.8291814946619201E-2</v>
      </c>
      <c r="BV52" s="13">
        <v>0.105243767653199</v>
      </c>
      <c r="BW52" s="13"/>
      <c r="BX52" s="13">
        <v>0.99635266004276202</v>
      </c>
      <c r="BY52" s="12">
        <v>1</v>
      </c>
      <c r="BZ52" s="18"/>
      <c r="CA52" s="13">
        <v>6.0487832493679496</v>
      </c>
      <c r="CB52" s="13">
        <v>12.781929910073901</v>
      </c>
      <c r="CC52" s="13">
        <v>5.2943048319220303</v>
      </c>
      <c r="CD52" s="13">
        <v>6.0502152307038697E-2</v>
      </c>
      <c r="CE52" s="13">
        <v>14.403444526183</v>
      </c>
      <c r="CF52" s="13">
        <v>-5.8316845959163404</v>
      </c>
      <c r="CG52" s="13"/>
      <c r="CH52" s="13">
        <v>2.2583638212972499</v>
      </c>
      <c r="CI52" s="12">
        <v>-2.13740809903521</v>
      </c>
      <c r="CJ52" s="18"/>
      <c r="CK52" s="13">
        <v>735.54011022657596</v>
      </c>
      <c r="CL52" s="13"/>
      <c r="CM52" s="13">
        <v>540.95959374314202</v>
      </c>
      <c r="CN52" s="13">
        <v>435.45445182657102</v>
      </c>
      <c r="CO52" s="13">
        <v>766.69336067056599</v>
      </c>
      <c r="CP52" s="13">
        <v>0</v>
      </c>
      <c r="CQ52" s="13"/>
      <c r="CR52" s="13">
        <v>504.75978752704998</v>
      </c>
      <c r="CS52" s="12">
        <v>374.93685618729</v>
      </c>
      <c r="CT52" s="18"/>
      <c r="CU52" s="13">
        <v>1</v>
      </c>
      <c r="CV52" s="13">
        <v>0.958956138201421</v>
      </c>
      <c r="CW52" s="13">
        <v>1</v>
      </c>
      <c r="CX52" s="13">
        <v>1</v>
      </c>
      <c r="CY52" s="13">
        <v>1</v>
      </c>
      <c r="CZ52" s="13">
        <v>0.57810774328138403</v>
      </c>
      <c r="DA52" s="13">
        <v>0.61402431536288804</v>
      </c>
      <c r="DB52" s="13"/>
      <c r="DC52" s="13">
        <v>1</v>
      </c>
      <c r="DD52" s="12">
        <v>1</v>
      </c>
      <c r="DE52" s="18"/>
      <c r="DF52" s="13">
        <v>4.2207629822498296</v>
      </c>
      <c r="DG52" s="13">
        <v>5.3338040224162597</v>
      </c>
      <c r="DH52" s="13">
        <v>11.460368225359799</v>
      </c>
      <c r="DI52" s="13">
        <v>10.478622194738399</v>
      </c>
      <c r="DJ52" s="13">
        <v>11.2014938383978</v>
      </c>
      <c r="DK52" s="13">
        <v>1.5939489081342699</v>
      </c>
      <c r="DL52" s="13"/>
      <c r="DM52" s="13">
        <v>4.8630035949288999</v>
      </c>
      <c r="DN52" s="12">
        <v>5.7545522460814302</v>
      </c>
      <c r="DO52" s="13"/>
      <c r="DP52" s="13">
        <v>3782.7777097366802</v>
      </c>
      <c r="DQ52" s="13"/>
      <c r="DR52" s="13">
        <v>4716.4914579480201</v>
      </c>
      <c r="DS52" s="13">
        <v>4552.88337809729</v>
      </c>
      <c r="DT52" s="13">
        <v>4743.5456190074101</v>
      </c>
      <c r="DU52" s="13">
        <v>3344.3523238380799</v>
      </c>
      <c r="DV52" s="13"/>
      <c r="DW52" s="13">
        <v>3756.7631320086498</v>
      </c>
      <c r="DX52" s="12">
        <v>3882.7280267558499</v>
      </c>
      <c r="DY52" s="18">
        <v>66.300649551500101</v>
      </c>
      <c r="DZ52" s="13">
        <v>11.1506340859882</v>
      </c>
      <c r="EA52" s="13">
        <v>0.35570677389421501</v>
      </c>
      <c r="EB52" s="13">
        <v>21.744509743272499</v>
      </c>
      <c r="EC52" s="13">
        <v>0.44849984534488002</v>
      </c>
      <c r="ED52" s="5">
        <v>91.160298886225803</v>
      </c>
      <c r="EE52" s="12">
        <v>7093</v>
      </c>
    </row>
    <row r="53" spans="1:135" x14ac:dyDescent="0.2">
      <c r="A53" s="30"/>
      <c r="B53" s="5">
        <v>47</v>
      </c>
      <c r="C53" s="12" t="s">
        <v>159</v>
      </c>
      <c r="D53" s="13" t="s">
        <v>62</v>
      </c>
      <c r="E53" s="13" t="str">
        <f t="shared" si="1"/>
        <v>EMT_low</v>
      </c>
      <c r="F53" s="13" t="s">
        <v>72</v>
      </c>
      <c r="G53" s="13" t="s">
        <v>64</v>
      </c>
      <c r="H53" s="13">
        <v>1</v>
      </c>
      <c r="I53" s="13" t="s">
        <v>91</v>
      </c>
      <c r="J53" s="13" t="s">
        <v>65</v>
      </c>
      <c r="K53" s="13" t="s">
        <v>80</v>
      </c>
      <c r="L53" s="13">
        <v>0.35639999999999999</v>
      </c>
      <c r="M53" s="13">
        <v>131</v>
      </c>
      <c r="N53" s="13">
        <v>-4.87E-2</v>
      </c>
      <c r="O53" s="13"/>
      <c r="P53" s="13" t="s">
        <v>160</v>
      </c>
      <c r="Q53" s="13" t="s">
        <v>68</v>
      </c>
      <c r="R53" s="13"/>
      <c r="S53" s="13">
        <v>13.1279</v>
      </c>
      <c r="T53" s="13" t="s">
        <v>73</v>
      </c>
      <c r="U53" s="5">
        <v>3.16</v>
      </c>
      <c r="V53" s="12">
        <v>0</v>
      </c>
      <c r="W53" s="5">
        <v>1837</v>
      </c>
      <c r="X53" s="18">
        <v>69585.851044098701</v>
      </c>
      <c r="Y53" s="13">
        <v>88156.917705546803</v>
      </c>
      <c r="Z53" s="13">
        <v>118617.162830373</v>
      </c>
      <c r="AA53" s="13">
        <v>643918.95488116599</v>
      </c>
      <c r="AB53" s="13">
        <v>315556.07063257898</v>
      </c>
      <c r="AC53" s="13">
        <v>599544.72329336999</v>
      </c>
      <c r="AD53" s="13">
        <v>298880.59472665802</v>
      </c>
      <c r="AE53" s="13">
        <v>326557.98719196598</v>
      </c>
      <c r="AF53" s="13">
        <v>1183002.47916346</v>
      </c>
      <c r="AG53" s="13">
        <v>0</v>
      </c>
      <c r="AH53" s="13">
        <v>506505.98978253099</v>
      </c>
      <c r="AI53" s="12">
        <v>108660.997172794</v>
      </c>
      <c r="AJ53" s="18">
        <v>0.16452328159645199</v>
      </c>
      <c r="AK53" s="13">
        <v>0.16062195552091399</v>
      </c>
      <c r="AL53" s="13">
        <v>9.9683544303797403E-2</v>
      </c>
      <c r="AM53" s="13">
        <v>0.37105594844302398</v>
      </c>
      <c r="AN53" s="13">
        <v>0.210579320527642</v>
      </c>
      <c r="AO53" s="13">
        <v>0.32484725050916402</v>
      </c>
      <c r="AP53" s="13">
        <v>0.17964765533527799</v>
      </c>
      <c r="AQ53" s="13">
        <v>0.60959860665290899</v>
      </c>
      <c r="AR53" s="13">
        <v>1.17442366246194E-2</v>
      </c>
      <c r="AS53" s="13">
        <v>0.48839319492725403</v>
      </c>
      <c r="AT53" s="12">
        <v>0.29913815165179097</v>
      </c>
      <c r="AU53" s="18">
        <v>-2.5313160918182298</v>
      </c>
      <c r="AV53" s="33">
        <v>-2.1842362513247102</v>
      </c>
      <c r="AW53" s="33">
        <v>-6.5785576463486297</v>
      </c>
      <c r="AX53" s="33">
        <v>-4.95827738232075</v>
      </c>
      <c r="AY53" s="33">
        <v>-7.4101076519954399</v>
      </c>
      <c r="AZ53" s="33">
        <v>-10.1652190188604</v>
      </c>
      <c r="BA53" s="33">
        <v>-10.5191858133638</v>
      </c>
      <c r="BB53" s="33">
        <v>-0.25197196774160702</v>
      </c>
      <c r="BC53" s="33">
        <v>-4.8473416480630496</v>
      </c>
      <c r="BD53" s="12">
        <v>-2.0666778590945398</v>
      </c>
      <c r="BE53" s="18">
        <v>9.0184770436730108</v>
      </c>
      <c r="BF53" s="33">
        <v>16.3937633061147</v>
      </c>
      <c r="BG53" s="33">
        <v>2.0824017885659498</v>
      </c>
      <c r="BH53" s="33">
        <v>11.4187975172505</v>
      </c>
      <c r="BI53" s="33">
        <v>4.5916687453230196</v>
      </c>
      <c r="BJ53" s="33">
        <v>6.8844707923655202</v>
      </c>
      <c r="BK53" s="33">
        <v>8.4736754862133594</v>
      </c>
      <c r="BL53" s="33"/>
      <c r="BM53" s="33">
        <v>8.1399733749902001</v>
      </c>
      <c r="BN53" s="12">
        <v>12.9525591838834</v>
      </c>
      <c r="BO53" s="18">
        <v>0.80088691796008804</v>
      </c>
      <c r="BP53" s="13">
        <v>0.78752501550923004</v>
      </c>
      <c r="BQ53" s="13">
        <v>0.43101265822784801</v>
      </c>
      <c r="BR53" s="13">
        <v>0.82662588874947696</v>
      </c>
      <c r="BS53" s="13">
        <v>0.74659033397872498</v>
      </c>
      <c r="BT53" s="13">
        <v>0.93482688391038604</v>
      </c>
      <c r="BU53" s="13">
        <v>0.66983687563255301</v>
      </c>
      <c r="BV53" s="13">
        <v>0.951905313777752</v>
      </c>
      <c r="BW53" s="13">
        <v>0.16093953892996901</v>
      </c>
      <c r="BX53" s="13">
        <v>0.94438044060453696</v>
      </c>
      <c r="BY53" s="12">
        <v>0.90984089323770001</v>
      </c>
      <c r="BZ53" s="18">
        <v>1.9504621014183501</v>
      </c>
      <c r="CA53" s="13">
        <v>-0.67926473445616198</v>
      </c>
      <c r="CB53" s="13">
        <v>-9.3901543996083099</v>
      </c>
      <c r="CC53" s="13">
        <v>0.451877294129164</v>
      </c>
      <c r="CD53" s="13">
        <v>-5.6568137568873</v>
      </c>
      <c r="CE53" s="13">
        <v>1.39692242921276</v>
      </c>
      <c r="CF53" s="13">
        <v>-4.0557911204035699</v>
      </c>
      <c r="CG53" s="13">
        <v>0.36051280456418699</v>
      </c>
      <c r="CH53" s="13">
        <v>-5.0744951101815197</v>
      </c>
      <c r="CI53" s="12">
        <v>-2.4036425384132301</v>
      </c>
      <c r="CJ53" s="18">
        <v>140.614621660534</v>
      </c>
      <c r="CK53" s="13">
        <v>149.725358422939</v>
      </c>
      <c r="CL53" s="13">
        <v>85.725540295965004</v>
      </c>
      <c r="CM53" s="13">
        <v>166.076547040571</v>
      </c>
      <c r="CN53" s="13">
        <v>89.230731494178997</v>
      </c>
      <c r="CO53" s="13">
        <v>131.521544245228</v>
      </c>
      <c r="CP53" s="13">
        <v>144.92936784630399</v>
      </c>
      <c r="CQ53" s="13"/>
      <c r="CR53" s="13">
        <v>152.02061732172899</v>
      </c>
      <c r="CS53" s="12">
        <v>133.30650122373299</v>
      </c>
      <c r="CT53" s="18">
        <v>1</v>
      </c>
      <c r="CU53" s="13">
        <v>1</v>
      </c>
      <c r="CV53" s="13">
        <v>0.99145569620253104</v>
      </c>
      <c r="CW53" s="13">
        <v>1</v>
      </c>
      <c r="CX53" s="13">
        <v>1</v>
      </c>
      <c r="CY53" s="13">
        <v>1</v>
      </c>
      <c r="CZ53" s="13">
        <v>0.98658459595959602</v>
      </c>
      <c r="DA53" s="13">
        <v>1</v>
      </c>
      <c r="DB53" s="13">
        <v>0.85863418877772901</v>
      </c>
      <c r="DC53" s="13">
        <v>1</v>
      </c>
      <c r="DD53" s="12">
        <v>1</v>
      </c>
      <c r="DE53" s="18">
        <v>-2.3073148558806298</v>
      </c>
      <c r="DF53" s="13">
        <v>-0.18483602049653999</v>
      </c>
      <c r="DG53" s="13">
        <v>-4.3157122663868099</v>
      </c>
      <c r="DH53" s="13">
        <v>2.17750293840048</v>
      </c>
      <c r="DI53" s="13">
        <v>0.63921669456094998</v>
      </c>
      <c r="DJ53" s="13">
        <v>6.77133986241458</v>
      </c>
      <c r="DK53" s="13">
        <v>4.9228245749898401</v>
      </c>
      <c r="DL53" s="13">
        <v>-0.69790787992206904</v>
      </c>
      <c r="DM53" s="13">
        <v>-1.64878169464564</v>
      </c>
      <c r="DN53" s="12">
        <v>-0.65856799377391095</v>
      </c>
      <c r="DO53" s="13">
        <v>767.12270036794098</v>
      </c>
      <c r="DP53" s="13">
        <v>1077.9776075493301</v>
      </c>
      <c r="DQ53" s="13">
        <v>1032.1771531991899</v>
      </c>
      <c r="DR53" s="13">
        <v>1153.6278458556601</v>
      </c>
      <c r="DS53" s="13">
        <v>1049.38156513223</v>
      </c>
      <c r="DT53" s="13">
        <v>988.88128976286805</v>
      </c>
      <c r="DU53" s="13">
        <v>1216.56031580852</v>
      </c>
      <c r="DV53" s="13"/>
      <c r="DW53" s="13">
        <v>1172.66629794291</v>
      </c>
      <c r="DX53" s="12">
        <v>1074.66072898521</v>
      </c>
      <c r="DY53" s="18">
        <v>11.878648379000801</v>
      </c>
      <c r="DZ53" s="13">
        <v>14.013266998341599</v>
      </c>
      <c r="EA53" s="13">
        <v>12.730865385024099</v>
      </c>
      <c r="EB53" s="13">
        <v>20.157087138456301</v>
      </c>
      <c r="EC53" s="13">
        <v>41.220132099177</v>
      </c>
      <c r="ED53" s="5">
        <v>75.612786429917605</v>
      </c>
      <c r="EE53" s="12">
        <v>2502.5</v>
      </c>
    </row>
    <row r="54" spans="1:135" x14ac:dyDescent="0.2">
      <c r="A54" s="30"/>
      <c r="B54" s="5">
        <v>48</v>
      </c>
      <c r="C54" s="12" t="s">
        <v>161</v>
      </c>
      <c r="D54" s="13" t="s">
        <v>62</v>
      </c>
      <c r="E54" s="13" t="str">
        <f t="shared" si="1"/>
        <v>EMT_low</v>
      </c>
      <c r="F54" s="13" t="s">
        <v>63</v>
      </c>
      <c r="G54" s="13" t="s">
        <v>64</v>
      </c>
      <c r="H54" s="13">
        <v>0</v>
      </c>
      <c r="I54" s="13" t="s">
        <v>64</v>
      </c>
      <c r="J54" s="13" t="s">
        <v>65</v>
      </c>
      <c r="K54" s="13" t="s">
        <v>66</v>
      </c>
      <c r="L54" s="13">
        <v>8.9700000000000002E-2</v>
      </c>
      <c r="M54" s="13">
        <v>228</v>
      </c>
      <c r="N54" s="13">
        <v>-6.7900000000000002E-2</v>
      </c>
      <c r="O54" s="13">
        <v>-0.57420000000000004</v>
      </c>
      <c r="P54" s="13" t="s">
        <v>162</v>
      </c>
      <c r="Q54" s="13" t="s">
        <v>68</v>
      </c>
      <c r="R54" s="13">
        <v>113.777</v>
      </c>
      <c r="S54" s="13">
        <v>39.282699999999998</v>
      </c>
      <c r="T54" s="13" t="s">
        <v>73</v>
      </c>
      <c r="U54" s="5">
        <v>2.1</v>
      </c>
      <c r="V54" s="12">
        <v>0</v>
      </c>
      <c r="W54" s="5">
        <v>1908</v>
      </c>
      <c r="X54" s="18"/>
      <c r="Y54" s="13">
        <v>52933.361063627199</v>
      </c>
      <c r="Z54" s="13">
        <v>57017.759848555397</v>
      </c>
      <c r="AA54" s="13">
        <v>384763.15215557499</v>
      </c>
      <c r="AB54" s="13">
        <v>2130577.9607279398</v>
      </c>
      <c r="AC54" s="13">
        <v>384994.692246855</v>
      </c>
      <c r="AD54" s="13">
        <v>16910.8397700405</v>
      </c>
      <c r="AE54" s="13">
        <v>321708.24712886999</v>
      </c>
      <c r="AF54" s="13">
        <v>55132.687979687696</v>
      </c>
      <c r="AG54" s="13"/>
      <c r="AH54" s="13">
        <v>323543.80292115099</v>
      </c>
      <c r="AI54" s="12">
        <v>60301.632433452498</v>
      </c>
      <c r="AJ54" s="18"/>
      <c r="AK54" s="13">
        <v>0.28817407128332601</v>
      </c>
      <c r="AL54" s="13">
        <v>0.17671245653672399</v>
      </c>
      <c r="AM54" s="13">
        <v>0.27061695502773098</v>
      </c>
      <c r="AN54" s="13">
        <v>0.90453177835906395</v>
      </c>
      <c r="AO54" s="13">
        <v>0.26950246264210598</v>
      </c>
      <c r="AP54" s="13">
        <v>2.3605303825402799E-2</v>
      </c>
      <c r="AQ54" s="13">
        <v>4.2616297221354897E-2</v>
      </c>
      <c r="AR54" s="13"/>
      <c r="AS54" s="13">
        <v>0.86840940205901296</v>
      </c>
      <c r="AT54" s="12">
        <v>0.29195053663089099</v>
      </c>
      <c r="AU54" s="18"/>
      <c r="AV54" s="33">
        <v>1.6317126856722599</v>
      </c>
      <c r="AW54" s="33">
        <v>4.1138315454542003</v>
      </c>
      <c r="AX54" s="33">
        <v>2.5133028961991202</v>
      </c>
      <c r="AY54" s="33">
        <v>-7.9648265121969599</v>
      </c>
      <c r="AZ54" s="33">
        <v>-2.1811330037845602</v>
      </c>
      <c r="BA54" s="33">
        <v>-3.9683064902725298</v>
      </c>
      <c r="BB54" s="33"/>
      <c r="BC54" s="33">
        <v>-0.62370633065693404</v>
      </c>
      <c r="BD54" s="12">
        <v>-0.99960498346919002</v>
      </c>
      <c r="BE54" s="18"/>
      <c r="BF54" s="33">
        <v>47.750776397515502</v>
      </c>
      <c r="BG54" s="33">
        <v>91.786389413988601</v>
      </c>
      <c r="BH54" s="33">
        <v>28.3179770218517</v>
      </c>
      <c r="BI54" s="33">
        <v>19.755724805810502</v>
      </c>
      <c r="BJ54" s="33">
        <v>4.9882223445239404</v>
      </c>
      <c r="BK54" s="33">
        <v>0</v>
      </c>
      <c r="BL54" s="33"/>
      <c r="BM54" s="33">
        <v>30.609183076623101</v>
      </c>
      <c r="BN54" s="12">
        <v>12.238185255198401</v>
      </c>
      <c r="BO54" s="18"/>
      <c r="BP54" s="13">
        <v>0.97314648910742596</v>
      </c>
      <c r="BQ54" s="13">
        <v>0.75507126451607498</v>
      </c>
      <c r="BR54" s="13">
        <v>0.66563699119314901</v>
      </c>
      <c r="BS54" s="13">
        <v>1</v>
      </c>
      <c r="BT54" s="13">
        <v>0.79184942228905297</v>
      </c>
      <c r="BU54" s="13">
        <v>0.19583627303117199</v>
      </c>
      <c r="BV54" s="13">
        <v>0.25444895410552598</v>
      </c>
      <c r="BW54" s="13"/>
      <c r="BX54" s="13">
        <v>1</v>
      </c>
      <c r="BY54" s="12">
        <v>0.81044463048868598</v>
      </c>
      <c r="BZ54" s="18"/>
      <c r="CA54" s="13">
        <v>4.3885606770036798</v>
      </c>
      <c r="CB54" s="13">
        <v>-0.18903817691178099</v>
      </c>
      <c r="CC54" s="13">
        <v>9.5878314201827699</v>
      </c>
      <c r="CD54" s="13">
        <v>1.86796924927886</v>
      </c>
      <c r="CE54" s="13">
        <v>5.44750587392413</v>
      </c>
      <c r="CF54" s="13">
        <v>-0.57431593574142503</v>
      </c>
      <c r="CG54" s="13"/>
      <c r="CH54" s="13">
        <v>1.83835554344202</v>
      </c>
      <c r="CI54" s="12">
        <v>2.0480466273315501</v>
      </c>
      <c r="CJ54" s="18"/>
      <c r="CK54" s="13">
        <v>424.73059006211099</v>
      </c>
      <c r="CL54" s="13">
        <v>275.35916824196602</v>
      </c>
      <c r="CM54" s="13">
        <v>418.08515431403401</v>
      </c>
      <c r="CN54" s="13">
        <v>417.52336578230597</v>
      </c>
      <c r="CO54" s="13">
        <v>355.23269124931198</v>
      </c>
      <c r="CP54" s="13">
        <v>328.39130434782601</v>
      </c>
      <c r="CQ54" s="13"/>
      <c r="CR54" s="13">
        <v>372.04357574575897</v>
      </c>
      <c r="CS54" s="12">
        <v>492.58695652173901</v>
      </c>
      <c r="CT54" s="18"/>
      <c r="CU54" s="13">
        <v>1</v>
      </c>
      <c r="CV54" s="13">
        <v>1</v>
      </c>
      <c r="CW54" s="13">
        <v>0.83916470750933403</v>
      </c>
      <c r="CX54" s="13">
        <v>1</v>
      </c>
      <c r="CY54" s="13">
        <v>1</v>
      </c>
      <c r="CZ54" s="13">
        <v>0.73717311223620297</v>
      </c>
      <c r="DA54" s="13">
        <v>0.711988760536996</v>
      </c>
      <c r="DB54" s="13"/>
      <c r="DC54" s="13">
        <v>1</v>
      </c>
      <c r="DD54" s="12">
        <v>0.98786747550163301</v>
      </c>
      <c r="DE54" s="18"/>
      <c r="DF54" s="13">
        <v>2.6033732490352501</v>
      </c>
      <c r="DG54" s="13">
        <v>2.4982486435737101</v>
      </c>
      <c r="DH54" s="13">
        <v>5.3688663600208901</v>
      </c>
      <c r="DI54" s="13">
        <v>2.53448377506421</v>
      </c>
      <c r="DJ54" s="13">
        <v>7.0711375140304202</v>
      </c>
      <c r="DK54" s="13">
        <v>0.919988074329812</v>
      </c>
      <c r="DL54" s="13"/>
      <c r="DM54" s="13">
        <v>3.29479065160867</v>
      </c>
      <c r="DN54" s="12">
        <v>0.690309308441862</v>
      </c>
      <c r="DO54" s="13"/>
      <c r="DP54" s="13">
        <v>2495.6063664596199</v>
      </c>
      <c r="DQ54" s="13">
        <v>2655.6862003780702</v>
      </c>
      <c r="DR54" s="13">
        <v>2836.5376210858299</v>
      </c>
      <c r="DS54" s="13">
        <v>2675.8802708564499</v>
      </c>
      <c r="DT54" s="13">
        <v>3188.8992845349399</v>
      </c>
      <c r="DU54" s="13">
        <v>2463.9546313799601</v>
      </c>
      <c r="DV54" s="13"/>
      <c r="DW54" s="13">
        <v>2774.7066679664599</v>
      </c>
      <c r="DX54" s="12">
        <v>2465.9943289224898</v>
      </c>
      <c r="DY54" s="18">
        <v>74.452296876401903</v>
      </c>
      <c r="DZ54" s="13">
        <v>12.1748970821792</v>
      </c>
      <c r="EA54" s="13">
        <v>0.47751334465147699</v>
      </c>
      <c r="EB54" s="13">
        <v>12.220937731951</v>
      </c>
      <c r="EC54" s="13">
        <v>0.674354964816262</v>
      </c>
      <c r="ED54" s="5">
        <v>85.084987214173196</v>
      </c>
      <c r="EE54" s="12">
        <v>6181.5</v>
      </c>
    </row>
    <row r="55" spans="1:135" x14ac:dyDescent="0.2">
      <c r="A55" s="30"/>
      <c r="B55" s="5">
        <v>50</v>
      </c>
      <c r="C55" s="12" t="s">
        <v>164</v>
      </c>
      <c r="D55" s="13" t="s">
        <v>62</v>
      </c>
      <c r="E55" s="13" t="str">
        <f t="shared" si="1"/>
        <v>EMT_low</v>
      </c>
      <c r="F55" s="13" t="s">
        <v>72</v>
      </c>
      <c r="G55" s="13" t="s">
        <v>64</v>
      </c>
      <c r="H55" s="13">
        <v>1</v>
      </c>
      <c r="I55" s="13" t="s">
        <v>64</v>
      </c>
      <c r="J55" s="13" t="s">
        <v>65</v>
      </c>
      <c r="K55" s="13" t="s">
        <v>80</v>
      </c>
      <c r="L55" s="13">
        <v>0.15140000000000001</v>
      </c>
      <c r="M55" s="13">
        <v>281</v>
      </c>
      <c r="N55" s="13">
        <v>-0.22750000000000001</v>
      </c>
      <c r="O55" s="13">
        <v>0.17910000000000001</v>
      </c>
      <c r="P55" s="13" t="s">
        <v>165</v>
      </c>
      <c r="Q55" s="13" t="s">
        <v>68</v>
      </c>
      <c r="R55" s="13">
        <v>73.8489</v>
      </c>
      <c r="S55" s="13">
        <v>24.984999999999999</v>
      </c>
      <c r="T55" s="13" t="s">
        <v>69</v>
      </c>
      <c r="U55" s="5">
        <v>1.6</v>
      </c>
      <c r="V55" s="12">
        <v>0</v>
      </c>
      <c r="W55" s="5">
        <v>4481</v>
      </c>
      <c r="X55" s="18">
        <v>7071.1289470429801</v>
      </c>
      <c r="Y55" s="13">
        <v>33743.5228606163</v>
      </c>
      <c r="Z55" s="13">
        <v>212468.48343696899</v>
      </c>
      <c r="AA55" s="13">
        <v>50733.422209361401</v>
      </c>
      <c r="AB55" s="13">
        <v>107259.73422200199</v>
      </c>
      <c r="AC55" s="13">
        <v>1225729.7055198499</v>
      </c>
      <c r="AD55" s="13">
        <v>289470.76489581098</v>
      </c>
      <c r="AE55" s="13">
        <v>431262.95088543399</v>
      </c>
      <c r="AF55" s="13">
        <v>1076610.7529448399</v>
      </c>
      <c r="AG55" s="13">
        <v>11925.223661408299</v>
      </c>
      <c r="AH55" s="13">
        <v>231538.12270223</v>
      </c>
      <c r="AI55" s="12">
        <v>93251.862258035399</v>
      </c>
      <c r="AJ55" s="18">
        <v>3.2107387268888399E-2</v>
      </c>
      <c r="AK55" s="13">
        <v>0.12914213811695699</v>
      </c>
      <c r="AL55" s="13">
        <v>0.488418818422446</v>
      </c>
      <c r="AM55" s="13">
        <v>3.6559407086277897E-2</v>
      </c>
      <c r="AN55" s="13">
        <v>7.87835782530492E-2</v>
      </c>
      <c r="AO55" s="13">
        <v>0.60045808370716502</v>
      </c>
      <c r="AP55" s="13">
        <v>0.235047892925173</v>
      </c>
      <c r="AQ55" s="13">
        <v>0.56719920029080295</v>
      </c>
      <c r="AR55" s="13">
        <v>5.0301548867544801E-2</v>
      </c>
      <c r="AS55" s="13">
        <v>0.58061737452056195</v>
      </c>
      <c r="AT55" s="12">
        <v>0.32811083451397699</v>
      </c>
      <c r="AU55" s="18">
        <v>-2.79563021164314</v>
      </c>
      <c r="AV55" s="33">
        <v>-3.9580660104707199</v>
      </c>
      <c r="AW55" s="33">
        <v>-11.4954408643856</v>
      </c>
      <c r="AX55" s="33">
        <v>-5.5917187428452397</v>
      </c>
      <c r="AY55" s="33">
        <v>-5.1674660346424997</v>
      </c>
      <c r="AZ55" s="33">
        <v>-15.8922200774547</v>
      </c>
      <c r="BA55" s="33">
        <v>-18.344434595349199</v>
      </c>
      <c r="BB55" s="33">
        <v>-0.60812914509832205</v>
      </c>
      <c r="BC55" s="33">
        <v>-6.5013958074565199</v>
      </c>
      <c r="BD55" s="12">
        <v>0.20454574929751401</v>
      </c>
      <c r="BE55" s="18">
        <v>14.656612529002301</v>
      </c>
      <c r="BF55" s="33">
        <v>30.819986080649301</v>
      </c>
      <c r="BG55" s="33">
        <v>17.839100729208401</v>
      </c>
      <c r="BH55" s="33">
        <v>0</v>
      </c>
      <c r="BI55" s="33">
        <v>12.839334052139</v>
      </c>
      <c r="BJ55" s="33">
        <v>16.369396479097201</v>
      </c>
      <c r="BK55" s="33">
        <v>22.0977309416485</v>
      </c>
      <c r="BL55" s="33">
        <v>24.647101980924401</v>
      </c>
      <c r="BM55" s="33">
        <v>24.024319028593201</v>
      </c>
      <c r="BN55" s="12">
        <v>40.355574783617001</v>
      </c>
      <c r="BO55" s="18">
        <v>0.31310100053325601</v>
      </c>
      <c r="BP55" s="13">
        <v>0.82056298991407295</v>
      </c>
      <c r="BQ55" s="13">
        <v>0.99068114215500802</v>
      </c>
      <c r="BR55" s="13">
        <v>0.254893289664199</v>
      </c>
      <c r="BS55" s="13">
        <v>0.479933083792416</v>
      </c>
      <c r="BT55" s="13">
        <v>0.97376194613379596</v>
      </c>
      <c r="BU55" s="13">
        <v>0.60031891429588402</v>
      </c>
      <c r="BV55" s="13">
        <v>0.94691536411001997</v>
      </c>
      <c r="BW55" s="13">
        <v>0.36829023390982502</v>
      </c>
      <c r="BX55" s="13">
        <v>0.99950714637752502</v>
      </c>
      <c r="BY55" s="12">
        <v>0.94244730214490702</v>
      </c>
      <c r="BZ55" s="18">
        <v>-2.0781959036066602</v>
      </c>
      <c r="CA55" s="13">
        <v>-0.57807402050169698</v>
      </c>
      <c r="CB55" s="13">
        <v>-4.8048722237507899</v>
      </c>
      <c r="CC55" s="13">
        <v>6.4622472006432004</v>
      </c>
      <c r="CD55" s="13">
        <v>4.7608512345091096</v>
      </c>
      <c r="CE55" s="13">
        <v>3.9347325833676798</v>
      </c>
      <c r="CF55" s="13">
        <v>8.7365516979851296</v>
      </c>
      <c r="CG55" s="13">
        <v>-2.1954725265634401</v>
      </c>
      <c r="CH55" s="13">
        <v>-9.0057622402869999</v>
      </c>
      <c r="CI55" s="12">
        <v>-1.25070822273014</v>
      </c>
      <c r="CJ55" s="18">
        <v>289.946030465045</v>
      </c>
      <c r="CK55" s="13">
        <v>388.45014974982098</v>
      </c>
      <c r="CL55" s="13">
        <v>270.49940731667903</v>
      </c>
      <c r="CM55" s="13">
        <v>792.09443822321703</v>
      </c>
      <c r="CN55" s="13">
        <v>423.33470023948797</v>
      </c>
      <c r="CO55" s="13">
        <v>392.60724189643997</v>
      </c>
      <c r="CP55" s="13">
        <v>395.036308519177</v>
      </c>
      <c r="CQ55" s="13">
        <v>53.402054292002902</v>
      </c>
      <c r="CR55" s="13">
        <v>228.92164613359401</v>
      </c>
      <c r="CS55" s="12">
        <v>320.61847808765901</v>
      </c>
      <c r="CT55" s="18">
        <v>0.69816038578317496</v>
      </c>
      <c r="CU55" s="13">
        <v>1</v>
      </c>
      <c r="CV55" s="13">
        <v>1</v>
      </c>
      <c r="CW55" s="13">
        <v>0.67780504931731</v>
      </c>
      <c r="CX55" s="13">
        <v>0.97423420548819395</v>
      </c>
      <c r="CY55" s="13">
        <v>1</v>
      </c>
      <c r="CZ55" s="13">
        <v>0.86601836844948599</v>
      </c>
      <c r="DA55" s="13">
        <v>1</v>
      </c>
      <c r="DB55" s="13">
        <v>0.78147268408550996</v>
      </c>
      <c r="DC55" s="13">
        <v>1</v>
      </c>
      <c r="DD55" s="12">
        <v>1</v>
      </c>
      <c r="DE55" s="18">
        <v>0.119124003083449</v>
      </c>
      <c r="DF55" s="13">
        <v>3.5271889478855298</v>
      </c>
      <c r="DG55" s="13">
        <v>5.1295948376957403</v>
      </c>
      <c r="DH55" s="13">
        <v>4.1100882139790897</v>
      </c>
      <c r="DI55" s="13">
        <v>7.1296366875502102</v>
      </c>
      <c r="DJ55" s="13">
        <v>6.8574427950635002</v>
      </c>
      <c r="DK55" s="13">
        <v>10.898325513279101</v>
      </c>
      <c r="DL55" s="13">
        <v>-3.1033914848248498</v>
      </c>
      <c r="DM55" s="13">
        <v>4.1140740453898701</v>
      </c>
      <c r="DN55" s="12">
        <v>1.6087916779184701</v>
      </c>
      <c r="DO55" s="13">
        <v>2650.2978916574202</v>
      </c>
      <c r="DP55" s="13">
        <v>2660.15343379978</v>
      </c>
      <c r="DQ55" s="13">
        <v>2481.0152652582701</v>
      </c>
      <c r="DR55" s="13">
        <v>2769.1955953714</v>
      </c>
      <c r="DS55" s="13">
        <v>2968.0415632573799</v>
      </c>
      <c r="DT55" s="13">
        <v>2727.01195919054</v>
      </c>
      <c r="DU55" s="13">
        <v>2863.7284508203102</v>
      </c>
      <c r="DV55" s="13">
        <v>1150.19809244314</v>
      </c>
      <c r="DW55" s="13">
        <v>2489.5881448125401</v>
      </c>
      <c r="DX55" s="12">
        <v>2330.8027574687799</v>
      </c>
      <c r="DY55" s="18">
        <v>3.6667457715312501</v>
      </c>
      <c r="DZ55" s="13">
        <v>45.872039814173</v>
      </c>
      <c r="EA55" s="13">
        <v>9.8772899793856705</v>
      </c>
      <c r="EB55" s="13">
        <v>1.58226816280184</v>
      </c>
      <c r="EC55" s="13">
        <v>39.0016562721081</v>
      </c>
      <c r="ED55" s="5">
        <v>82.219562053505797</v>
      </c>
      <c r="EE55" s="12">
        <v>5150.5</v>
      </c>
    </row>
    <row r="56" spans="1:135" ht="17" thickBot="1" x14ac:dyDescent="0.25">
      <c r="A56" s="31"/>
      <c r="B56" s="6">
        <v>51</v>
      </c>
      <c r="C56" s="14" t="s">
        <v>166</v>
      </c>
      <c r="D56" s="15" t="s">
        <v>62</v>
      </c>
      <c r="E56" s="15" t="str">
        <f t="shared" si="1"/>
        <v>EMT_low</v>
      </c>
      <c r="F56" s="15" t="s">
        <v>63</v>
      </c>
      <c r="G56" s="15" t="s">
        <v>64</v>
      </c>
      <c r="H56" s="15">
        <v>1</v>
      </c>
      <c r="I56" s="15" t="s">
        <v>64</v>
      </c>
      <c r="J56" s="15" t="s">
        <v>77</v>
      </c>
      <c r="K56" s="15" t="s">
        <v>66</v>
      </c>
      <c r="L56" s="15">
        <v>0.10009999999999999</v>
      </c>
      <c r="M56" s="15">
        <v>93</v>
      </c>
      <c r="N56" s="15">
        <v>0.40110000000000001</v>
      </c>
      <c r="O56" s="15">
        <v>0.1226</v>
      </c>
      <c r="P56" s="15"/>
      <c r="Q56" s="15"/>
      <c r="R56" s="15"/>
      <c r="S56" s="15"/>
      <c r="T56" s="15"/>
      <c r="U56" s="6"/>
      <c r="V56" s="14">
        <v>1</v>
      </c>
      <c r="W56" s="6">
        <v>3600</v>
      </c>
      <c r="X56" s="19">
        <v>1742.1594886599701</v>
      </c>
      <c r="Y56" s="15">
        <v>20111.898450907</v>
      </c>
      <c r="Z56" s="15">
        <v>163481.76051088699</v>
      </c>
      <c r="AA56" s="15">
        <v>560515.08696977899</v>
      </c>
      <c r="AB56" s="15">
        <v>1830093.3123898001</v>
      </c>
      <c r="AC56" s="15">
        <v>122367.135197985</v>
      </c>
      <c r="AD56" s="15">
        <v>289510.58107964299</v>
      </c>
      <c r="AE56" s="15">
        <v>497889.55442144797</v>
      </c>
      <c r="AF56" s="15">
        <v>124881.350988299</v>
      </c>
      <c r="AG56" s="15">
        <v>3254.32437032198</v>
      </c>
      <c r="AH56" s="15">
        <v>103927.430186642</v>
      </c>
      <c r="AI56" s="14">
        <v>45901.131670448201</v>
      </c>
      <c r="AJ56" s="19">
        <v>9.1993185689948007E-3</v>
      </c>
      <c r="AK56" s="15">
        <v>8.6883603313464397E-2</v>
      </c>
      <c r="AL56" s="15">
        <v>0.201801437912244</v>
      </c>
      <c r="AM56" s="15">
        <v>0.45555682156159899</v>
      </c>
      <c r="AN56" s="15">
        <v>0.87488639387841305</v>
      </c>
      <c r="AO56" s="15">
        <v>0.1243229023376</v>
      </c>
      <c r="AP56" s="15">
        <v>0.24878404752188901</v>
      </c>
      <c r="AQ56" s="15">
        <v>0.115698639736452</v>
      </c>
      <c r="AR56" s="15">
        <v>1.4485344239945399E-2</v>
      </c>
      <c r="AS56" s="15">
        <v>0.56638133582349304</v>
      </c>
      <c r="AT56" s="14">
        <v>0.25674493525223602</v>
      </c>
      <c r="AU56" s="19">
        <v>1.2437086354529201</v>
      </c>
      <c r="AV56" s="15">
        <v>-3.7299152641408999</v>
      </c>
      <c r="AW56" s="15">
        <v>-0.32741930867674501</v>
      </c>
      <c r="AX56" s="15">
        <v>-21.1240609611691</v>
      </c>
      <c r="AY56" s="15">
        <v>-42.687450424882499</v>
      </c>
      <c r="AZ56" s="15">
        <v>-12.902639457066</v>
      </c>
      <c r="BA56" s="15">
        <v>-9.8971045610290105</v>
      </c>
      <c r="BB56" s="15">
        <v>0.23812281832311499</v>
      </c>
      <c r="BC56" s="15">
        <v>6.2970029763103499</v>
      </c>
      <c r="BD56" s="14">
        <v>-4.9613518152024501</v>
      </c>
      <c r="BE56" s="19"/>
      <c r="BF56" s="15">
        <v>23.2437516919499</v>
      </c>
      <c r="BG56" s="15">
        <v>40.220858035877001</v>
      </c>
      <c r="BH56" s="15">
        <v>23.862652649327099</v>
      </c>
      <c r="BI56" s="15">
        <v>20.095123009564499</v>
      </c>
      <c r="BJ56" s="15">
        <v>14.4938664471068</v>
      </c>
      <c r="BK56" s="15">
        <v>12.10687138948</v>
      </c>
      <c r="BL56" s="15"/>
      <c r="BM56" s="15">
        <v>49.061935894743399</v>
      </c>
      <c r="BN56" s="14">
        <v>25.433978449582899</v>
      </c>
      <c r="BO56" s="19">
        <v>7.80238500851788E-2</v>
      </c>
      <c r="BP56" s="15">
        <v>0.59989563405799995</v>
      </c>
      <c r="BQ56" s="15">
        <v>0.72755208623200995</v>
      </c>
      <c r="BR56" s="15">
        <v>0.93782866993714697</v>
      </c>
      <c r="BS56" s="15">
        <v>1</v>
      </c>
      <c r="BT56" s="15">
        <v>0.591006633125571</v>
      </c>
      <c r="BU56" s="15">
        <v>0.82432680417592197</v>
      </c>
      <c r="BV56" s="15">
        <v>0.37998342923156098</v>
      </c>
      <c r="BW56" s="15">
        <v>0.18694614860259001</v>
      </c>
      <c r="BX56" s="15">
        <v>1</v>
      </c>
      <c r="BY56" s="14">
        <v>0.93950945755164195</v>
      </c>
      <c r="BZ56" s="19">
        <v>-3.6053826270721601</v>
      </c>
      <c r="CA56" s="15">
        <v>-5.1692596626464304</v>
      </c>
      <c r="CB56" s="15">
        <v>-2.5534113678700501</v>
      </c>
      <c r="CC56" s="15">
        <v>2.62784949117545</v>
      </c>
      <c r="CD56" s="15">
        <v>5.9689526089106</v>
      </c>
      <c r="CE56" s="15">
        <v>2.6248344059554798</v>
      </c>
      <c r="CF56" s="15">
        <v>-9.1303311521185009</v>
      </c>
      <c r="CG56" s="15">
        <v>-3.0948473605881701</v>
      </c>
      <c r="CH56" s="15">
        <v>5.0654400549571097</v>
      </c>
      <c r="CI56" s="14">
        <v>-1.1901555450451899</v>
      </c>
      <c r="CJ56" s="19"/>
      <c r="CK56" s="15">
        <v>323.510097933439</v>
      </c>
      <c r="CL56" s="15">
        <v>460.87777490230502</v>
      </c>
      <c r="CM56" s="15">
        <v>422.125580513665</v>
      </c>
      <c r="CN56" s="15">
        <v>441.30853914446101</v>
      </c>
      <c r="CO56" s="15">
        <v>458.33957989513198</v>
      </c>
      <c r="CP56" s="15">
        <v>246.04287017330401</v>
      </c>
      <c r="CQ56" s="15"/>
      <c r="CR56" s="15">
        <v>458.46861415141302</v>
      </c>
      <c r="CS56" s="14">
        <v>414.46519857965001</v>
      </c>
      <c r="CT56" s="19">
        <v>0.56269165247018704</v>
      </c>
      <c r="CU56" s="15">
        <v>0.99109131403118</v>
      </c>
      <c r="CV56" s="15">
        <v>0.99078862314156402</v>
      </c>
      <c r="CW56" s="15">
        <v>1</v>
      </c>
      <c r="CX56" s="15">
        <v>1</v>
      </c>
      <c r="CY56" s="15">
        <v>0.96115559402726602</v>
      </c>
      <c r="CZ56" s="15">
        <v>0.99766774309293105</v>
      </c>
      <c r="DA56" s="15">
        <v>0.60127874489576605</v>
      </c>
      <c r="DB56" s="15">
        <v>0.74608043626448495</v>
      </c>
      <c r="DC56" s="15">
        <v>1</v>
      </c>
      <c r="DD56" s="14">
        <v>1</v>
      </c>
      <c r="DE56" s="19">
        <v>-1.06721747628912</v>
      </c>
      <c r="DF56" s="15">
        <v>-0.794729773920689</v>
      </c>
      <c r="DG56" s="15">
        <v>-1.04998416741321</v>
      </c>
      <c r="DH56" s="15">
        <v>11.493919381621</v>
      </c>
      <c r="DI56" s="15">
        <v>11.9714601972002</v>
      </c>
      <c r="DJ56" s="15">
        <v>6.7551312574162603</v>
      </c>
      <c r="DK56" s="15">
        <v>-5.1079901712538804</v>
      </c>
      <c r="DL56" s="15">
        <v>-3.2451470541684801</v>
      </c>
      <c r="DM56" s="15">
        <v>3.22117008812504</v>
      </c>
      <c r="DN56" s="14">
        <v>0.96694103532945497</v>
      </c>
      <c r="DO56" s="15"/>
      <c r="DP56" s="15">
        <v>2768.5419545268801</v>
      </c>
      <c r="DQ56" s="15">
        <v>3165.7209754320302</v>
      </c>
      <c r="DR56" s="15">
        <v>3266.0293494346402</v>
      </c>
      <c r="DS56" s="15">
        <v>3226.6790080959599</v>
      </c>
      <c r="DT56" s="15">
        <v>3491.1664806697099</v>
      </c>
      <c r="DU56" s="15">
        <v>2099.11948920644</v>
      </c>
      <c r="DV56" s="15"/>
      <c r="DW56" s="15">
        <v>3055.5133610335101</v>
      </c>
      <c r="DX56" s="14">
        <v>3007.7613528471402</v>
      </c>
      <c r="DY56" s="19">
        <v>63.497869227344601</v>
      </c>
      <c r="DZ56" s="15">
        <v>4.0416318047831599</v>
      </c>
      <c r="EA56" s="15">
        <v>9.0691521653052902</v>
      </c>
      <c r="EB56" s="15">
        <v>19.4029044777919</v>
      </c>
      <c r="EC56" s="15">
        <v>3.9884423247748799</v>
      </c>
      <c r="ED56" s="6">
        <v>89.450483193804303</v>
      </c>
      <c r="EE56" s="14">
        <v>6326.5</v>
      </c>
    </row>
    <row r="57" spans="1:135" ht="17" thickBot="1" x14ac:dyDescent="0.25"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</row>
    <row r="58" spans="1:135" ht="17" thickBot="1" x14ac:dyDescent="0.25">
      <c r="Z58" s="24" t="s">
        <v>187</v>
      </c>
      <c r="AA58" s="22" t="s">
        <v>188</v>
      </c>
      <c r="AB58" s="22" t="s">
        <v>189</v>
      </c>
      <c r="AC58" s="22" t="s">
        <v>56</v>
      </c>
      <c r="AD58" s="22" t="s">
        <v>186</v>
      </c>
      <c r="AE58" s="22" t="s">
        <v>190</v>
      </c>
      <c r="AF58" s="21" t="s">
        <v>191</v>
      </c>
      <c r="AL58" s="24" t="s">
        <v>187</v>
      </c>
      <c r="AM58" s="22" t="s">
        <v>188</v>
      </c>
      <c r="AN58" s="22" t="s">
        <v>189</v>
      </c>
      <c r="AO58" s="22" t="s">
        <v>56</v>
      </c>
      <c r="AP58" s="22" t="s">
        <v>186</v>
      </c>
      <c r="AQ58" s="22" t="s">
        <v>190</v>
      </c>
      <c r="AR58" s="21" t="s">
        <v>191</v>
      </c>
      <c r="AU58" s="34"/>
      <c r="AV58" s="34"/>
      <c r="AW58" s="24" t="s">
        <v>187</v>
      </c>
      <c r="AX58" s="22" t="s">
        <v>188</v>
      </c>
      <c r="AY58" s="22" t="s">
        <v>189</v>
      </c>
      <c r="AZ58" s="22" t="s">
        <v>186</v>
      </c>
      <c r="BA58" s="22" t="s">
        <v>190</v>
      </c>
      <c r="BB58" s="21" t="s">
        <v>191</v>
      </c>
      <c r="BC58" s="34"/>
      <c r="BD58" s="34"/>
      <c r="BG58" s="24" t="s">
        <v>187</v>
      </c>
      <c r="BH58" s="22" t="s">
        <v>188</v>
      </c>
      <c r="BI58" s="22" t="s">
        <v>189</v>
      </c>
      <c r="BJ58" s="22" t="s">
        <v>186</v>
      </c>
      <c r="BK58" s="22" t="s">
        <v>190</v>
      </c>
      <c r="BL58" s="21" t="s">
        <v>191</v>
      </c>
    </row>
    <row r="59" spans="1:135" x14ac:dyDescent="0.2">
      <c r="Y59" s="46" t="s">
        <v>192</v>
      </c>
      <c r="Z59" s="7">
        <v>82914.697941692706</v>
      </c>
      <c r="AA59" s="38">
        <v>83792.558451577934</v>
      </c>
      <c r="AB59" s="38">
        <v>638089.35869710951</v>
      </c>
      <c r="AC59" s="38">
        <v>615443.63353661355</v>
      </c>
      <c r="AD59" s="38">
        <v>7296.2408820156434</v>
      </c>
      <c r="AE59" s="38">
        <v>314052.97355548525</v>
      </c>
      <c r="AF59" s="39">
        <v>189378.76729411405</v>
      </c>
      <c r="AK59" s="46" t="s">
        <v>192</v>
      </c>
      <c r="AL59" s="7">
        <v>0.12271388033743992</v>
      </c>
      <c r="AM59" s="38">
        <v>0.19687769043938666</v>
      </c>
      <c r="AN59" s="38">
        <v>0.42760495176920627</v>
      </c>
      <c r="AO59" s="38">
        <v>0.32610805467239146</v>
      </c>
      <c r="AP59" s="38">
        <v>2.9362169152450074E-2</v>
      </c>
      <c r="AQ59" s="38">
        <v>0.57780099302387544</v>
      </c>
      <c r="AR59" s="39">
        <v>0.36397280099762752</v>
      </c>
      <c r="AV59" s="46" t="s">
        <v>192</v>
      </c>
      <c r="AW59" s="38">
        <v>-4.1160032915791041</v>
      </c>
      <c r="AX59" s="38">
        <v>-4.1160032915791041</v>
      </c>
      <c r="AY59" s="38">
        <v>-14.586316578769633</v>
      </c>
      <c r="AZ59" s="38">
        <v>-1.8912986883744496</v>
      </c>
      <c r="BA59" s="38">
        <v>-6.1144874182785482</v>
      </c>
      <c r="BB59" s="39">
        <v>-5.4985029964214043</v>
      </c>
      <c r="BF59" s="46" t="s">
        <v>195</v>
      </c>
      <c r="BG59" s="38">
        <v>8.3008986477847628</v>
      </c>
      <c r="BH59" s="38">
        <v>13.538056180177033</v>
      </c>
      <c r="BI59" s="38">
        <v>14.483561829872023</v>
      </c>
      <c r="BJ59" s="38">
        <v>15.829912703691463</v>
      </c>
      <c r="BK59" s="38">
        <v>20.553296523014048</v>
      </c>
      <c r="BL59" s="39">
        <v>16.829555109483923</v>
      </c>
    </row>
    <row r="60" spans="1:135" x14ac:dyDescent="0.2">
      <c r="Y60" s="44" t="s">
        <v>193</v>
      </c>
      <c r="Z60" s="40">
        <v>21890.045430625149</v>
      </c>
      <c r="AA60" s="34">
        <v>72538.050754181953</v>
      </c>
      <c r="AB60" s="34">
        <v>416364.55962521402</v>
      </c>
      <c r="AC60" s="34">
        <v>410368.48277126555</v>
      </c>
      <c r="AD60" s="34">
        <v>4439.1177608451653</v>
      </c>
      <c r="AE60" s="34">
        <v>247942.87937882351</v>
      </c>
      <c r="AF60" s="41">
        <v>113085.08613135951</v>
      </c>
      <c r="AK60" s="44" t="s">
        <v>193</v>
      </c>
      <c r="AL60" s="40">
        <v>5.5597573862932056E-2</v>
      </c>
      <c r="AM60" s="34">
        <v>0.16318369367896052</v>
      </c>
      <c r="AN60" s="34">
        <v>0.37049809594300054</v>
      </c>
      <c r="AO60" s="34">
        <v>0.27170680846683404</v>
      </c>
      <c r="AP60" s="34">
        <v>2.0066058653534249E-2</v>
      </c>
      <c r="AQ60" s="34">
        <v>0.57458133028049052</v>
      </c>
      <c r="AR60" s="41">
        <v>0.32669748068326349</v>
      </c>
      <c r="AV60" s="44" t="s">
        <v>193</v>
      </c>
      <c r="AW60" s="34">
        <v>-3.5815248430351998</v>
      </c>
      <c r="AX60" s="34">
        <v>-3.5815248430351998</v>
      </c>
      <c r="AY60" s="34">
        <v>-11.232823017458799</v>
      </c>
      <c r="AZ60" s="34">
        <v>-1.8530826796985949</v>
      </c>
      <c r="BA60" s="34">
        <v>-4.6217700335318952</v>
      </c>
      <c r="BB60" s="41">
        <v>-4.2168097235389403</v>
      </c>
      <c r="BF60" s="44" t="s">
        <v>196</v>
      </c>
      <c r="BG60" s="34">
        <v>5.1657971014492698</v>
      </c>
      <c r="BH60" s="34">
        <v>12.6127678479578</v>
      </c>
      <c r="BI60" s="34">
        <v>9.4798391112813594</v>
      </c>
      <c r="BJ60" s="34">
        <v>13.0081533715293</v>
      </c>
      <c r="BK60" s="34">
        <v>17.369022320253698</v>
      </c>
      <c r="BL60" s="41">
        <v>16.448918355524199</v>
      </c>
    </row>
    <row r="61" spans="1:135" ht="17" thickBot="1" x14ac:dyDescent="0.25">
      <c r="Y61" s="45" t="s">
        <v>194</v>
      </c>
      <c r="Z61" s="42">
        <v>145274.03934618211</v>
      </c>
      <c r="AA61" s="2">
        <v>56402.719445534582</v>
      </c>
      <c r="AB61" s="2">
        <v>601837.39727320429</v>
      </c>
      <c r="AC61" s="2">
        <v>607267.57016771287</v>
      </c>
      <c r="AD61" s="2">
        <v>7780.8607025737992</v>
      </c>
      <c r="AE61" s="2">
        <v>211625.67734063813</v>
      </c>
      <c r="AF61" s="43">
        <v>230219.28780325691</v>
      </c>
      <c r="AK61" s="45" t="s">
        <v>194</v>
      </c>
      <c r="AL61" s="42">
        <v>0.15172440231258214</v>
      </c>
      <c r="AM61" s="2">
        <v>0.10029431015878083</v>
      </c>
      <c r="AN61" s="2">
        <v>0.27908101307718325</v>
      </c>
      <c r="AO61" s="2">
        <v>0.23100574247699945</v>
      </c>
      <c r="AP61" s="2">
        <v>2.8922329863592437E-2</v>
      </c>
      <c r="AQ61" s="2">
        <v>0.21648701004862364</v>
      </c>
      <c r="AR61" s="43">
        <v>0.23481205389214857</v>
      </c>
      <c r="AV61" s="45" t="s">
        <v>194</v>
      </c>
      <c r="AW61" s="2">
        <v>3.9065577810600316</v>
      </c>
      <c r="AX61" s="2">
        <v>3.9065577810600316</v>
      </c>
      <c r="AY61" s="2">
        <v>13.974050162869432</v>
      </c>
      <c r="AZ61" s="2">
        <v>1.3489606364570137</v>
      </c>
      <c r="BA61" s="2">
        <v>8.086021080858357</v>
      </c>
      <c r="BB61" s="43">
        <v>5.7021832166579625</v>
      </c>
      <c r="BF61" s="45" t="s">
        <v>197</v>
      </c>
      <c r="BG61" s="2">
        <v>10.931661432874153</v>
      </c>
      <c r="BH61" s="2">
        <v>10.88299392763532</v>
      </c>
      <c r="BI61" s="2">
        <v>15.33654343980046</v>
      </c>
      <c r="BJ61" s="2">
        <v>7.7990490672083617</v>
      </c>
      <c r="BK61" s="2">
        <v>12.004755984455683</v>
      </c>
      <c r="BL61" s="43">
        <v>10.831043898448339</v>
      </c>
    </row>
  </sheetData>
  <sortState xmlns:xlrd2="http://schemas.microsoft.com/office/spreadsheetml/2017/richdata2" ref="B3:EE56">
    <sortCondition ref="E2:E56"/>
  </sortState>
  <mergeCells count="13">
    <mergeCell ref="BE1:BN1"/>
    <mergeCell ref="A3:A29"/>
    <mergeCell ref="A30:A56"/>
    <mergeCell ref="X1:AI1"/>
    <mergeCell ref="AJ1:AT1"/>
    <mergeCell ref="AU1:BD1"/>
    <mergeCell ref="DY1:EC1"/>
    <mergeCell ref="BO1:BY1"/>
    <mergeCell ref="BZ1:CI1"/>
    <mergeCell ref="CJ1:CS1"/>
    <mergeCell ref="CT1:DD1"/>
    <mergeCell ref="DE1:DN1"/>
    <mergeCell ref="DO1:D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7917A-27D0-9C4B-892A-F1D8DBF7F50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survival_metrics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Stihi</dc:creator>
  <cp:lastModifiedBy>Alexandru Stihi</cp:lastModifiedBy>
  <dcterms:created xsi:type="dcterms:W3CDTF">2025-08-18T16:19:02Z</dcterms:created>
  <dcterms:modified xsi:type="dcterms:W3CDTF">2025-10-10T19:45:00Z</dcterms:modified>
</cp:coreProperties>
</file>